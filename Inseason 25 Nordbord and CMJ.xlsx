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chinvenkat/git/ProTech/"/>
    </mc:Choice>
  </mc:AlternateContent>
  <xr:revisionPtr revIDLastSave="0" documentId="13_ncr:1_{D9BD5354-44AC-A546-ADE7-F00736BF56DA}" xr6:coauthVersionLast="47" xr6:coauthVersionMax="47" xr10:uidLastSave="{00000000-0000-0000-0000-000000000000}"/>
  <bookViews>
    <workbookView xWindow="0" yWindow="760" windowWidth="29400" windowHeight="16720" xr2:uid="{68F18A4E-16B6-C849-8DAE-51593F9DA775}"/>
  </bookViews>
  <sheets>
    <sheet name="CMJ Inseason" sheetId="2" r:id="rId1"/>
    <sheet name="Nordbord Inseason" sheetId="1" r:id="rId2"/>
  </sheets>
  <definedNames>
    <definedName name="_xlnm._FilterDatabase" localSheetId="0" hidden="1">'CMJ Inseason'!$A$1:$CB$46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6" i="2" l="1"/>
  <c r="CA46" i="2"/>
  <c r="BZ46" i="2"/>
  <c r="DL46" i="2"/>
  <c r="DN45" i="2"/>
  <c r="DM45" i="2"/>
  <c r="DL45" i="2"/>
  <c r="DK45" i="2"/>
  <c r="DJ45" i="2"/>
  <c r="DI45" i="2"/>
  <c r="DE45" i="2"/>
  <c r="DH45" i="2" s="1"/>
  <c r="DD45" i="2"/>
  <c r="DG45" i="2" s="1"/>
  <c r="DC45" i="2"/>
  <c r="DF45" i="2" s="1"/>
  <c r="DN44" i="2"/>
  <c r="DM44" i="2"/>
  <c r="DL44" i="2"/>
  <c r="DK44" i="2"/>
  <c r="DJ44" i="2"/>
  <c r="DI44" i="2"/>
  <c r="DE44" i="2"/>
  <c r="DH44" i="2" s="1"/>
  <c r="DD44" i="2"/>
  <c r="DG44" i="2" s="1"/>
  <c r="DC44" i="2"/>
  <c r="DF44" i="2" s="1"/>
  <c r="DE43" i="2"/>
  <c r="DD43" i="2"/>
  <c r="DC43" i="2"/>
  <c r="DN42" i="2"/>
  <c r="DM42" i="2"/>
  <c r="DL42" i="2"/>
  <c r="DK42" i="2"/>
  <c r="DJ42" i="2"/>
  <c r="DI42" i="2"/>
  <c r="DE42" i="2"/>
  <c r="DH42" i="2" s="1"/>
  <c r="DD42" i="2"/>
  <c r="DG42" i="2" s="1"/>
  <c r="DC42" i="2"/>
  <c r="DF42" i="2" s="1"/>
  <c r="DN41" i="2"/>
  <c r="DM41" i="2"/>
  <c r="DL41" i="2"/>
  <c r="DK41" i="2"/>
  <c r="DJ41" i="2"/>
  <c r="DI41" i="2"/>
  <c r="DE41" i="2"/>
  <c r="DH41" i="2" s="1"/>
  <c r="DD41" i="2"/>
  <c r="DG41" i="2" s="1"/>
  <c r="DC41" i="2"/>
  <c r="DF41" i="2" s="1"/>
  <c r="DN40" i="2"/>
  <c r="DM40" i="2"/>
  <c r="DL40" i="2"/>
  <c r="DK40" i="2"/>
  <c r="DJ40" i="2"/>
  <c r="DI40" i="2"/>
  <c r="DE40" i="2"/>
  <c r="DH40" i="2" s="1"/>
  <c r="DD40" i="2"/>
  <c r="DG40" i="2" s="1"/>
  <c r="DC40" i="2"/>
  <c r="DF40" i="2" s="1"/>
  <c r="DN39" i="2"/>
  <c r="DM39" i="2"/>
  <c r="DL39" i="2"/>
  <c r="DK39" i="2"/>
  <c r="DJ39" i="2"/>
  <c r="DI39" i="2"/>
  <c r="DE39" i="2"/>
  <c r="DH39" i="2" s="1"/>
  <c r="DD39" i="2"/>
  <c r="DG39" i="2" s="1"/>
  <c r="DC39" i="2"/>
  <c r="DF39" i="2" s="1"/>
  <c r="DN38" i="2"/>
  <c r="DM38" i="2"/>
  <c r="DL38" i="2"/>
  <c r="DK38" i="2"/>
  <c r="DJ38" i="2"/>
  <c r="DI38" i="2"/>
  <c r="DE38" i="2"/>
  <c r="DH38" i="2" s="1"/>
  <c r="DD38" i="2"/>
  <c r="DG38" i="2" s="1"/>
  <c r="DC38" i="2"/>
  <c r="DF38" i="2" s="1"/>
  <c r="DN37" i="2"/>
  <c r="DM37" i="2"/>
  <c r="DL37" i="2"/>
  <c r="DK37" i="2"/>
  <c r="DJ37" i="2"/>
  <c r="DI37" i="2"/>
  <c r="DE37" i="2"/>
  <c r="DH37" i="2" s="1"/>
  <c r="DD37" i="2"/>
  <c r="DG37" i="2" s="1"/>
  <c r="DC37" i="2"/>
  <c r="DF37" i="2" s="1"/>
  <c r="DN36" i="2"/>
  <c r="DM36" i="2"/>
  <c r="DL36" i="2"/>
  <c r="DK36" i="2"/>
  <c r="DJ36" i="2"/>
  <c r="DI36" i="2"/>
  <c r="DE36" i="2"/>
  <c r="DH36" i="2" s="1"/>
  <c r="DD36" i="2"/>
  <c r="DG36" i="2" s="1"/>
  <c r="DC36" i="2"/>
  <c r="DF36" i="2" s="1"/>
  <c r="DN35" i="2"/>
  <c r="DM35" i="2"/>
  <c r="DL35" i="2"/>
  <c r="DK35" i="2"/>
  <c r="DJ35" i="2"/>
  <c r="DI35" i="2"/>
  <c r="DE35" i="2"/>
  <c r="DH35" i="2" s="1"/>
  <c r="DD35" i="2"/>
  <c r="DG35" i="2" s="1"/>
  <c r="DC35" i="2"/>
  <c r="DF35" i="2" s="1"/>
  <c r="DN34" i="2"/>
  <c r="DM34" i="2"/>
  <c r="DL34" i="2"/>
  <c r="DK34" i="2"/>
  <c r="DJ34" i="2"/>
  <c r="DI34" i="2"/>
  <c r="DE34" i="2"/>
  <c r="DH34" i="2" s="1"/>
  <c r="DD34" i="2"/>
  <c r="DG34" i="2" s="1"/>
  <c r="DC34" i="2"/>
  <c r="DF34" i="2" s="1"/>
  <c r="DE33" i="2"/>
  <c r="DD33" i="2"/>
  <c r="DC33" i="2"/>
  <c r="DE32" i="2"/>
  <c r="DD32" i="2"/>
  <c r="DC32" i="2"/>
  <c r="DE31" i="2"/>
  <c r="DD31" i="2"/>
  <c r="DC31" i="2"/>
  <c r="DN30" i="2"/>
  <c r="DM30" i="2"/>
  <c r="DL30" i="2"/>
  <c r="DK30" i="2"/>
  <c r="DJ30" i="2"/>
  <c r="DI30" i="2"/>
  <c r="DE30" i="2"/>
  <c r="DH30" i="2" s="1"/>
  <c r="DD30" i="2"/>
  <c r="DG30" i="2" s="1"/>
  <c r="DC30" i="2"/>
  <c r="DF30" i="2" s="1"/>
  <c r="DN29" i="2"/>
  <c r="DM29" i="2"/>
  <c r="DL29" i="2"/>
  <c r="DK29" i="2"/>
  <c r="DJ29" i="2"/>
  <c r="DI29" i="2"/>
  <c r="DE29" i="2"/>
  <c r="DH29" i="2" s="1"/>
  <c r="DD29" i="2"/>
  <c r="DG29" i="2" s="1"/>
  <c r="DC29" i="2"/>
  <c r="DF29" i="2" s="1"/>
  <c r="DN28" i="2"/>
  <c r="DM28" i="2"/>
  <c r="DL28" i="2"/>
  <c r="DK28" i="2"/>
  <c r="DJ28" i="2"/>
  <c r="DI28" i="2"/>
  <c r="DE28" i="2"/>
  <c r="DH28" i="2" s="1"/>
  <c r="DD28" i="2"/>
  <c r="DG28" i="2" s="1"/>
  <c r="DC28" i="2"/>
  <c r="DF28" i="2" s="1"/>
  <c r="DE27" i="2"/>
  <c r="DD27" i="2"/>
  <c r="DC27" i="2"/>
  <c r="DE26" i="2"/>
  <c r="DD26" i="2"/>
  <c r="DC26" i="2"/>
  <c r="DN25" i="2"/>
  <c r="DM25" i="2"/>
  <c r="DL25" i="2"/>
  <c r="DK25" i="2"/>
  <c r="DJ25" i="2"/>
  <c r="DI25" i="2"/>
  <c r="DE25" i="2"/>
  <c r="DH25" i="2" s="1"/>
  <c r="DD25" i="2"/>
  <c r="DG25" i="2" s="1"/>
  <c r="DC25" i="2"/>
  <c r="DF25" i="2" s="1"/>
  <c r="DE24" i="2"/>
  <c r="DD24" i="2"/>
  <c r="DC24" i="2"/>
  <c r="DN23" i="2"/>
  <c r="DM23" i="2"/>
  <c r="DL23" i="2"/>
  <c r="DK23" i="2"/>
  <c r="DJ23" i="2"/>
  <c r="DI23" i="2"/>
  <c r="DE23" i="2"/>
  <c r="DH23" i="2" s="1"/>
  <c r="DD23" i="2"/>
  <c r="DG23" i="2" s="1"/>
  <c r="DC23" i="2"/>
  <c r="DF23" i="2" s="1"/>
  <c r="DN22" i="2"/>
  <c r="DM22" i="2"/>
  <c r="DL22" i="2"/>
  <c r="DK22" i="2"/>
  <c r="DJ22" i="2"/>
  <c r="DI22" i="2"/>
  <c r="DE22" i="2"/>
  <c r="DH22" i="2" s="1"/>
  <c r="DD22" i="2"/>
  <c r="DG22" i="2" s="1"/>
  <c r="DC22" i="2"/>
  <c r="DF22" i="2" s="1"/>
  <c r="DE21" i="2"/>
  <c r="DD21" i="2"/>
  <c r="DC21" i="2"/>
  <c r="DE20" i="2"/>
  <c r="DD20" i="2"/>
  <c r="DC20" i="2"/>
  <c r="DN19" i="2"/>
  <c r="DM19" i="2"/>
  <c r="DL19" i="2"/>
  <c r="DK19" i="2"/>
  <c r="DJ19" i="2"/>
  <c r="DI19" i="2"/>
  <c r="DE19" i="2"/>
  <c r="DH19" i="2" s="1"/>
  <c r="DD19" i="2"/>
  <c r="DG19" i="2" s="1"/>
  <c r="DC19" i="2"/>
  <c r="DF19" i="2" s="1"/>
  <c r="DE18" i="2"/>
  <c r="DD18" i="2"/>
  <c r="DC18" i="2"/>
  <c r="DN17" i="2"/>
  <c r="DM17" i="2"/>
  <c r="DL17" i="2"/>
  <c r="DK17" i="2"/>
  <c r="DJ17" i="2"/>
  <c r="DI17" i="2"/>
  <c r="DE17" i="2"/>
  <c r="DH17" i="2" s="1"/>
  <c r="DD17" i="2"/>
  <c r="DG17" i="2" s="1"/>
  <c r="DC17" i="2"/>
  <c r="DF17" i="2" s="1"/>
  <c r="DN16" i="2"/>
  <c r="DM16" i="2"/>
  <c r="DL16" i="2"/>
  <c r="DK16" i="2"/>
  <c r="DJ16" i="2"/>
  <c r="DI16" i="2"/>
  <c r="DE16" i="2"/>
  <c r="DH16" i="2" s="1"/>
  <c r="DD16" i="2"/>
  <c r="DG16" i="2" s="1"/>
  <c r="DC16" i="2"/>
  <c r="DF16" i="2" s="1"/>
  <c r="DE15" i="2"/>
  <c r="DD15" i="2"/>
  <c r="DC15" i="2"/>
  <c r="DN14" i="2"/>
  <c r="DM14" i="2"/>
  <c r="DL14" i="2"/>
  <c r="DK14" i="2"/>
  <c r="DJ14" i="2"/>
  <c r="DI14" i="2"/>
  <c r="DE14" i="2"/>
  <c r="DH14" i="2" s="1"/>
  <c r="DD14" i="2"/>
  <c r="DG14" i="2" s="1"/>
  <c r="DC14" i="2"/>
  <c r="DF14" i="2" s="1"/>
  <c r="DN13" i="2"/>
  <c r="DM13" i="2"/>
  <c r="DL13" i="2"/>
  <c r="DK13" i="2"/>
  <c r="DJ13" i="2"/>
  <c r="DI13" i="2"/>
  <c r="DE13" i="2"/>
  <c r="DH13" i="2" s="1"/>
  <c r="DD13" i="2"/>
  <c r="DG13" i="2" s="1"/>
  <c r="DC13" i="2"/>
  <c r="DF13" i="2" s="1"/>
  <c r="DE12" i="2"/>
  <c r="DD12" i="2"/>
  <c r="DC12" i="2"/>
  <c r="DN11" i="2"/>
  <c r="DM11" i="2"/>
  <c r="DL11" i="2"/>
  <c r="DK11" i="2"/>
  <c r="DJ11" i="2"/>
  <c r="DI11" i="2"/>
  <c r="DE11" i="2"/>
  <c r="DH11" i="2" s="1"/>
  <c r="DD11" i="2"/>
  <c r="DG11" i="2" s="1"/>
  <c r="DC11" i="2"/>
  <c r="DF11" i="2" s="1"/>
  <c r="DE10" i="2"/>
  <c r="DD10" i="2"/>
  <c r="DC10" i="2"/>
  <c r="DN9" i="2"/>
  <c r="DM9" i="2"/>
  <c r="DL9" i="2"/>
  <c r="DK9" i="2"/>
  <c r="DJ9" i="2"/>
  <c r="DI9" i="2"/>
  <c r="DE9" i="2"/>
  <c r="DH9" i="2" s="1"/>
  <c r="DD9" i="2"/>
  <c r="DG9" i="2" s="1"/>
  <c r="DC9" i="2"/>
  <c r="DF9" i="2" s="1"/>
  <c r="DN8" i="2"/>
  <c r="DM8" i="2"/>
  <c r="DL8" i="2"/>
  <c r="DK8" i="2"/>
  <c r="DJ8" i="2"/>
  <c r="DI8" i="2"/>
  <c r="DE8" i="2"/>
  <c r="DH8" i="2" s="1"/>
  <c r="DD8" i="2"/>
  <c r="DG8" i="2" s="1"/>
  <c r="DC8" i="2"/>
  <c r="DF8" i="2" s="1"/>
  <c r="DE7" i="2"/>
  <c r="DD7" i="2"/>
  <c r="DC7" i="2"/>
  <c r="DN6" i="2"/>
  <c r="DM6" i="2"/>
  <c r="DL6" i="2"/>
  <c r="DK6" i="2"/>
  <c r="DJ6" i="2"/>
  <c r="DI6" i="2"/>
  <c r="DE6" i="2"/>
  <c r="DH6" i="2" s="1"/>
  <c r="DD6" i="2"/>
  <c r="DG6" i="2" s="1"/>
  <c r="DC6" i="2"/>
  <c r="DF6" i="2" s="1"/>
  <c r="DN5" i="2"/>
  <c r="DM5" i="2"/>
  <c r="DL5" i="2"/>
  <c r="DK5" i="2"/>
  <c r="DJ5" i="2"/>
  <c r="DI5" i="2"/>
  <c r="DE5" i="2"/>
  <c r="DH5" i="2" s="1"/>
  <c r="DD5" i="2"/>
  <c r="DG5" i="2" s="1"/>
  <c r="DC5" i="2"/>
  <c r="DF5" i="2" s="1"/>
  <c r="DE4" i="2"/>
  <c r="DD4" i="2"/>
  <c r="DC4" i="2"/>
  <c r="DN3" i="2"/>
  <c r="DM3" i="2"/>
  <c r="DL3" i="2"/>
  <c r="DK3" i="2"/>
  <c r="DJ3" i="2"/>
  <c r="DI3" i="2"/>
  <c r="DE3" i="2"/>
  <c r="DH3" i="2" s="1"/>
  <c r="DD3" i="2"/>
  <c r="DG3" i="2" s="1"/>
  <c r="DC3" i="2"/>
  <c r="DF3" i="2" s="1"/>
  <c r="DN2" i="2"/>
  <c r="DM2" i="2"/>
  <c r="DL2" i="2"/>
  <c r="DK2" i="2"/>
  <c r="DJ2" i="2"/>
  <c r="DI2" i="2"/>
  <c r="DE2" i="2"/>
  <c r="DH2" i="2" s="1"/>
  <c r="DD2" i="2"/>
  <c r="DG2" i="2" s="1"/>
  <c r="DC2" i="2"/>
  <c r="DF2" i="2" s="1"/>
  <c r="CK35" i="1"/>
  <c r="CJ35" i="1"/>
  <c r="DI33" i="1"/>
  <c r="DH33" i="1"/>
  <c r="DG33" i="1"/>
  <c r="DF33" i="1"/>
  <c r="DC33" i="1"/>
  <c r="DE33" i="1" s="1"/>
  <c r="DB33" i="1"/>
  <c r="DD33" i="1" s="1"/>
  <c r="DI32" i="1"/>
  <c r="DH32" i="1"/>
  <c r="DG32" i="1"/>
  <c r="DF32" i="1"/>
  <c r="DC32" i="1"/>
  <c r="DE32" i="1" s="1"/>
  <c r="DB32" i="1"/>
  <c r="DD32" i="1" s="1"/>
  <c r="DI31" i="1"/>
  <c r="DH31" i="1"/>
  <c r="DG31" i="1"/>
  <c r="DF31" i="1"/>
  <c r="DC31" i="1"/>
  <c r="DE31" i="1" s="1"/>
  <c r="DB31" i="1"/>
  <c r="DD31" i="1" s="1"/>
  <c r="DI30" i="1"/>
  <c r="DH30" i="1"/>
  <c r="DG30" i="1"/>
  <c r="DF30" i="1"/>
  <c r="DC30" i="1"/>
  <c r="DE30" i="1" s="1"/>
  <c r="DB30" i="1"/>
  <c r="DD30" i="1" s="1"/>
  <c r="DI29" i="1"/>
  <c r="DH29" i="1"/>
  <c r="DG29" i="1"/>
  <c r="DF29" i="1"/>
  <c r="DC29" i="1"/>
  <c r="DE29" i="1" s="1"/>
  <c r="DB29" i="1"/>
  <c r="DD29" i="1" s="1"/>
  <c r="DI28" i="1"/>
  <c r="DH28" i="1"/>
  <c r="DG28" i="1"/>
  <c r="DF28" i="1"/>
  <c r="DC28" i="1"/>
  <c r="DE28" i="1" s="1"/>
  <c r="DB28" i="1"/>
  <c r="DD28" i="1" s="1"/>
  <c r="DI27" i="1"/>
  <c r="DH27" i="1"/>
  <c r="DG27" i="1"/>
  <c r="DF27" i="1"/>
  <c r="DC27" i="1"/>
  <c r="DE27" i="1" s="1"/>
  <c r="DB27" i="1"/>
  <c r="DD27" i="1" s="1"/>
  <c r="DI26" i="1"/>
  <c r="DH26" i="1"/>
  <c r="DG26" i="1"/>
  <c r="DF26" i="1"/>
  <c r="DC26" i="1"/>
  <c r="DE26" i="1" s="1"/>
  <c r="DB26" i="1"/>
  <c r="DD26" i="1" s="1"/>
  <c r="DI25" i="1"/>
  <c r="DH25" i="1"/>
  <c r="DG25" i="1"/>
  <c r="DF25" i="1"/>
  <c r="DC25" i="1"/>
  <c r="DE25" i="1" s="1"/>
  <c r="DB25" i="1"/>
  <c r="DD25" i="1" s="1"/>
  <c r="DI24" i="1"/>
  <c r="DH24" i="1"/>
  <c r="DG24" i="1"/>
  <c r="DF24" i="1"/>
  <c r="DC24" i="1"/>
  <c r="DE24" i="1" s="1"/>
  <c r="DB24" i="1"/>
  <c r="DD24" i="1" s="1"/>
  <c r="DC23" i="1"/>
  <c r="DB23" i="1"/>
  <c r="DC22" i="1"/>
  <c r="DB22" i="1"/>
  <c r="DI21" i="1"/>
  <c r="DH21" i="1"/>
  <c r="DG21" i="1"/>
  <c r="DF21" i="1"/>
  <c r="DC21" i="1"/>
  <c r="DE21" i="1" s="1"/>
  <c r="DB21" i="1"/>
  <c r="DD21" i="1" s="1"/>
  <c r="DI20" i="1"/>
  <c r="DH20" i="1"/>
  <c r="DG20" i="1"/>
  <c r="DF20" i="1"/>
  <c r="DC20" i="1"/>
  <c r="DE20" i="1" s="1"/>
  <c r="DB20" i="1"/>
  <c r="DD20" i="1" s="1"/>
  <c r="DC19" i="1"/>
  <c r="DB19" i="1"/>
  <c r="DC18" i="1"/>
  <c r="DB18" i="1"/>
  <c r="DC17" i="1"/>
  <c r="DB17" i="1"/>
  <c r="DC16" i="1"/>
  <c r="DB16" i="1"/>
  <c r="DI15" i="1"/>
  <c r="DH15" i="1"/>
  <c r="DG15" i="1"/>
  <c r="DF15" i="1"/>
  <c r="DC15" i="1"/>
  <c r="DE15" i="1" s="1"/>
  <c r="DB15" i="1"/>
  <c r="DD15" i="1" s="1"/>
  <c r="DI14" i="1"/>
  <c r="DH14" i="1"/>
  <c r="DG14" i="1"/>
  <c r="DF14" i="1"/>
  <c r="DC14" i="1"/>
  <c r="DE14" i="1" s="1"/>
  <c r="DB14" i="1"/>
  <c r="DD14" i="1" s="1"/>
  <c r="DI13" i="1"/>
  <c r="DH13" i="1"/>
  <c r="DG13" i="1"/>
  <c r="DF13" i="1"/>
  <c r="DC13" i="1"/>
  <c r="DE13" i="1" s="1"/>
  <c r="DB13" i="1"/>
  <c r="DD13" i="1" s="1"/>
  <c r="DI12" i="1"/>
  <c r="DH12" i="1"/>
  <c r="DG12" i="1"/>
  <c r="DF12" i="1"/>
  <c r="DC12" i="1"/>
  <c r="DE12" i="1" s="1"/>
  <c r="DB12" i="1"/>
  <c r="DD12" i="1" s="1"/>
  <c r="DI11" i="1"/>
  <c r="DH11" i="1"/>
  <c r="DG11" i="1"/>
  <c r="DF11" i="1"/>
  <c r="DC11" i="1"/>
  <c r="DE11" i="1" s="1"/>
  <c r="DB11" i="1"/>
  <c r="DD11" i="1" s="1"/>
  <c r="DI10" i="1"/>
  <c r="DH10" i="1"/>
  <c r="DG10" i="1"/>
  <c r="DF10" i="1"/>
  <c r="DC10" i="1"/>
  <c r="DE10" i="1" s="1"/>
  <c r="DB10" i="1"/>
  <c r="DD10" i="1" s="1"/>
  <c r="DI9" i="1"/>
  <c r="DH9" i="1"/>
  <c r="DG9" i="1"/>
  <c r="DF9" i="1"/>
  <c r="DC9" i="1"/>
  <c r="DE9" i="1" s="1"/>
  <c r="DB9" i="1"/>
  <c r="DD9" i="1" s="1"/>
  <c r="DI8" i="1"/>
  <c r="DH8" i="1"/>
  <c r="DG8" i="1"/>
  <c r="DF8" i="1"/>
  <c r="DC8" i="1"/>
  <c r="DE8" i="1" s="1"/>
  <c r="DB8" i="1"/>
  <c r="DD8" i="1" s="1"/>
  <c r="DC7" i="1"/>
  <c r="DB7" i="1"/>
  <c r="DI6" i="1"/>
  <c r="DH6" i="1"/>
  <c r="DG6" i="1"/>
  <c r="DF6" i="1"/>
  <c r="DC6" i="1"/>
  <c r="DE6" i="1" s="1"/>
  <c r="DB6" i="1"/>
  <c r="DD6" i="1" s="1"/>
  <c r="DI5" i="1"/>
  <c r="DH5" i="1"/>
  <c r="DG5" i="1"/>
  <c r="DF5" i="1"/>
  <c r="DC5" i="1"/>
  <c r="DE5" i="1" s="1"/>
  <c r="DB5" i="1"/>
  <c r="DD5" i="1" s="1"/>
  <c r="DC4" i="1"/>
  <c r="DB4" i="1"/>
  <c r="DI3" i="1"/>
  <c r="DH3" i="1"/>
  <c r="DG3" i="1"/>
  <c r="DF3" i="1"/>
  <c r="DC3" i="1"/>
  <c r="DE3" i="1" s="1"/>
  <c r="DB3" i="1"/>
  <c r="DD3" i="1" s="1"/>
  <c r="DI2" i="1"/>
  <c r="DH2" i="1"/>
  <c r="DG2" i="1"/>
  <c r="DF2" i="1"/>
  <c r="DC2" i="1"/>
  <c r="DE2" i="1" s="1"/>
  <c r="DB2" i="1"/>
  <c r="DD2" i="1" s="1"/>
  <c r="BW46" i="2"/>
  <c r="BV46" i="2"/>
  <c r="BU46" i="2"/>
  <c r="DI46" i="2" s="1"/>
  <c r="CF35" i="1"/>
  <c r="CE35" i="1"/>
  <c r="BR46" i="2"/>
  <c r="BQ46" i="2"/>
  <c r="BP46" i="2"/>
  <c r="CA35" i="1"/>
  <c r="BZ35" i="1"/>
  <c r="BM46" i="2"/>
  <c r="BL46" i="2"/>
  <c r="BK46" i="2"/>
  <c r="BV35" i="1"/>
  <c r="BU35" i="1"/>
  <c r="BH46" i="2"/>
  <c r="BG46" i="2"/>
  <c r="BF46" i="2"/>
  <c r="BQ35" i="1"/>
  <c r="BP35" i="1"/>
  <c r="BC46" i="2"/>
  <c r="DE46" i="2" s="1"/>
  <c r="DH46" i="2" s="1"/>
  <c r="BB46" i="2"/>
  <c r="BA46" i="2"/>
  <c r="DC46" i="2" s="1"/>
  <c r="DF46" i="2" s="1"/>
  <c r="BK35" i="1"/>
  <c r="BL35" i="1"/>
  <c r="AX46" i="2"/>
  <c r="AW46" i="2"/>
  <c r="AV46" i="2"/>
  <c r="BG35" i="1"/>
  <c r="BF35" i="1"/>
  <c r="AS46" i="2"/>
  <c r="AR46" i="2"/>
  <c r="AQ46" i="2"/>
  <c r="BB35" i="1"/>
  <c r="BA35" i="1"/>
  <c r="AN46" i="2"/>
  <c r="AM46" i="2"/>
  <c r="AL46" i="2"/>
  <c r="AW35" i="1"/>
  <c r="AV35" i="1"/>
  <c r="AI46" i="2"/>
  <c r="AH46" i="2"/>
  <c r="AG46" i="2"/>
  <c r="AR35" i="1"/>
  <c r="AQ35" i="1"/>
  <c r="AM35" i="1"/>
  <c r="AL35" i="1"/>
  <c r="AD46" i="2"/>
  <c r="AC46" i="2"/>
  <c r="AB46" i="2"/>
  <c r="AH35" i="1"/>
  <c r="AG35" i="1"/>
  <c r="Y46" i="2"/>
  <c r="X46" i="2"/>
  <c r="W46" i="2"/>
  <c r="AC35" i="1"/>
  <c r="AB35" i="1"/>
  <c r="T46" i="2"/>
  <c r="S46" i="2"/>
  <c r="R46" i="2"/>
  <c r="X35" i="1"/>
  <c r="W35" i="1"/>
  <c r="O46" i="2"/>
  <c r="N46" i="2"/>
  <c r="M46" i="2"/>
  <c r="S35" i="1"/>
  <c r="R35" i="1"/>
  <c r="N35" i="1"/>
  <c r="M35" i="1"/>
  <c r="J46" i="2"/>
  <c r="I46" i="2"/>
  <c r="H46" i="2"/>
  <c r="E46" i="2"/>
  <c r="D46" i="2"/>
  <c r="C46" i="2"/>
  <c r="I35" i="1"/>
  <c r="H35" i="1"/>
  <c r="D35" i="1"/>
  <c r="DC35" i="1" s="1"/>
  <c r="DE35" i="1" s="1"/>
  <c r="C35" i="1"/>
  <c r="DB35" i="1" s="1"/>
  <c r="DI35" i="1" l="1"/>
  <c r="DH35" i="1"/>
  <c r="DH36" i="1" s="1"/>
  <c r="DD46" i="2"/>
  <c r="DK46" i="2"/>
  <c r="DN46" i="2"/>
  <c r="DG46" i="2"/>
  <c r="DM46" i="2"/>
  <c r="DJ46" i="2"/>
  <c r="DG35" i="1"/>
  <c r="DD35" i="1"/>
  <c r="DF35" i="1"/>
  <c r="DD36" i="1" l="1"/>
  <c r="DF36" i="1"/>
</calcChain>
</file>

<file path=xl/sharedStrings.xml><?xml version="1.0" encoding="utf-8"?>
<sst xmlns="http://schemas.openxmlformats.org/spreadsheetml/2006/main" count="1318" uniqueCount="81">
  <si>
    <t xml:space="preserve">L AVG </t>
  </si>
  <si>
    <t xml:space="preserve">R AVG </t>
  </si>
  <si>
    <t>L Today vs Avg</t>
  </si>
  <si>
    <t>R Today vs Avg</t>
  </si>
  <si>
    <t>L Today vs Last Week</t>
  </si>
  <si>
    <t>R Today vs Last Week</t>
  </si>
  <si>
    <t>L Today vs Baseline</t>
  </si>
  <si>
    <t>R Today vs Baseline</t>
  </si>
  <si>
    <t>Name</t>
  </si>
  <si>
    <t>Date</t>
  </si>
  <si>
    <t xml:space="preserve">RSI-modified [m/s] </t>
  </si>
  <si>
    <t xml:space="preserve">Jump Height (Imp-Mom) [cm] </t>
  </si>
  <si>
    <t xml:space="preserve">Eccentric Peak Velocity [m/s] </t>
  </si>
  <si>
    <t>Andrew Cofield</t>
  </si>
  <si>
    <t>Caden Pinnick</t>
  </si>
  <si>
    <t>Carter Vargas</t>
  </si>
  <si>
    <t>Cole Batson</t>
  </si>
  <si>
    <t>Connor Bonesio</t>
  </si>
  <si>
    <t>David Porotesano</t>
  </si>
  <si>
    <t>Derrell Porter</t>
  </si>
  <si>
    <t>Ernesto Nava</t>
  </si>
  <si>
    <t>Grant Harper</t>
  </si>
  <si>
    <t>Ian Simpson</t>
  </si>
  <si>
    <t>Jace Rodriguez</t>
  </si>
  <si>
    <t>Jackson Sievers</t>
  </si>
  <si>
    <t>Jacob Psyk</t>
  </si>
  <si>
    <t>Jake Williams</t>
  </si>
  <si>
    <t>Jayden Stanley</t>
  </si>
  <si>
    <t>Jordan Fisher</t>
  </si>
  <si>
    <t>Josiah Allen</t>
  </si>
  <si>
    <t>Kai Acia</t>
  </si>
  <si>
    <t>Khalani Riddick</t>
  </si>
  <si>
    <t>Macray Madruga</t>
  </si>
  <si>
    <t>Matteo Perez</t>
  </si>
  <si>
    <t>Nate Rutchena</t>
  </si>
  <si>
    <t>Nick Afato</t>
  </si>
  <si>
    <t>Porter Connors</t>
  </si>
  <si>
    <t>Rayne Mayo</t>
  </si>
  <si>
    <t>Sam Gbatu</t>
  </si>
  <si>
    <t>Sam Goligoski</t>
  </si>
  <si>
    <t>Trent Carrade</t>
  </si>
  <si>
    <t>Trey Carr</t>
  </si>
  <si>
    <t>Ty Richardson</t>
  </si>
  <si>
    <t>Tyler Hennessy</t>
  </si>
  <si>
    <t>Zach Jones</t>
  </si>
  <si>
    <t>Zaire Collier</t>
  </si>
  <si>
    <t>Jump Ht Avg</t>
  </si>
  <si>
    <t>ECC Peak Velocity Avg</t>
  </si>
  <si>
    <t>TEAM</t>
  </si>
  <si>
    <t>mRSI Avg</t>
  </si>
  <si>
    <t>Date UTC</t>
  </si>
  <si>
    <t>L Max Force (N)</t>
  </si>
  <si>
    <t>R Max Force (N)</t>
  </si>
  <si>
    <t>Max Imbalance (%)</t>
  </si>
  <si>
    <t>Avg</t>
  </si>
  <si>
    <t>Kyle Hill</t>
  </si>
  <si>
    <t>Today vs Avg mRSI</t>
  </si>
  <si>
    <t>Today vs Avg Jump Ht</t>
  </si>
  <si>
    <t>Today vs Avg ECC V</t>
  </si>
  <si>
    <t>Today vs Baseline mRSI</t>
  </si>
  <si>
    <t>Today vs Baseline Jump Ht</t>
  </si>
  <si>
    <t>Today vs Baseline ECC V</t>
  </si>
  <si>
    <t>Today vs Last Wk mRSI</t>
  </si>
  <si>
    <t>Today vs Last Wk Jump Ht</t>
  </si>
  <si>
    <t>Today vs Last Wk ECC V</t>
  </si>
  <si>
    <t>Fernando  Morales</t>
  </si>
  <si>
    <t>3.941782898726498</t>
  </si>
  <si>
    <t>Marquis Bell</t>
  </si>
  <si>
    <t>4.225352112676061</t>
  </si>
  <si>
    <t>Stacy Dobbins</t>
  </si>
  <si>
    <t>Thomas McCormick</t>
  </si>
  <si>
    <t>3.1746031746031744</t>
  </si>
  <si>
    <t>Fernando Morales</t>
  </si>
  <si>
    <t>9.361702127659576</t>
  </si>
  <si>
    <t>Scott Nixon</t>
  </si>
  <si>
    <t>Will Fowler</t>
  </si>
  <si>
    <t>David Main</t>
  </si>
  <si>
    <t>Eli Simonson</t>
  </si>
  <si>
    <t>Mitchell Dixon</t>
  </si>
  <si>
    <t>L</t>
  </si>
  <si>
    <t>Laviel Pickett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</si>
</sst>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1">
    <xf numFmtId="0" fontId="0" fillId="0" borderId="0" xfId="0"/>
    <xf numFmtId="0" fontId="18" fillId="0" borderId="0" xfId="0" applyFon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1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1" xfId="0" applyFont="1" applyBorder="1"/>
    <xf numFmtId="0" fontId="18" fillId="0" borderId="0" xfId="0" applyFont="1" applyAlignment="1">
      <alignment horizontal="center"/>
    </xf>
    <xf numFmtId="0" fontId="18" fillId="0" borderId="12" xfId="0" applyFont="1" applyBorder="1"/>
    <xf numFmtId="14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/>
    </xf>
    <xf numFmtId="164" fontId="18" fillId="0" borderId="18" xfId="0" applyNumberFormat="1" applyFont="1" applyBorder="1" applyAlignment="1">
      <alignment horizontal="center"/>
    </xf>
    <xf numFmtId="0" fontId="0" fillId="0" borderId="19" xfId="0" applyBorder="1"/>
    <xf numFmtId="2" fontId="0" fillId="0" borderId="20" xfId="0" applyNumberForma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4" fontId="0" fillId="0" borderId="20" xfId="0" applyNumberFormat="1" applyBorder="1"/>
    <xf numFmtId="0" fontId="18" fillId="0" borderId="13" xfId="0" applyFont="1" applyBorder="1"/>
    <xf numFmtId="0" fontId="18" fillId="0" borderId="21" xfId="0" applyFont="1" applyBorder="1"/>
    <xf numFmtId="0" fontId="0" fillId="0" borderId="23" xfId="0" applyBorder="1"/>
    <xf numFmtId="0" fontId="0" fillId="0" borderId="25" xfId="0" applyBorder="1"/>
    <xf numFmtId="14" fontId="0" fillId="0" borderId="26" xfId="0" applyNumberFormat="1" applyBorder="1"/>
    <xf numFmtId="0" fontId="0" fillId="0" borderId="26" xfId="0" applyBorder="1"/>
    <xf numFmtId="0" fontId="18" fillId="0" borderId="28" xfId="0" applyFont="1" applyBorder="1"/>
    <xf numFmtId="0" fontId="0" fillId="0" borderId="29" xfId="0" applyBorder="1"/>
    <xf numFmtId="0" fontId="0" fillId="34" borderId="29" xfId="0" applyFill="1" applyBorder="1"/>
    <xf numFmtId="0" fontId="0" fillId="0" borderId="30" xfId="0" applyBorder="1"/>
    <xf numFmtId="0" fontId="0" fillId="0" borderId="25" xfId="0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4" fontId="20" fillId="0" borderId="20" xfId="0" applyNumberFormat="1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0" fillId="0" borderId="13" xfId="0" applyBorder="1"/>
    <xf numFmtId="14" fontId="0" fillId="0" borderId="21" xfId="0" applyNumberFormat="1" applyBorder="1" applyAlignment="1">
      <alignment horizontal="center"/>
    </xf>
    <xf numFmtId="0" fontId="20" fillId="0" borderId="23" xfId="0" applyFont="1" applyBorder="1"/>
    <xf numFmtId="0" fontId="20" fillId="0" borderId="25" xfId="0" applyFont="1" applyBorder="1"/>
    <xf numFmtId="14" fontId="20" fillId="0" borderId="26" xfId="0" applyNumberFormat="1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19" fillId="35" borderId="0" xfId="0" applyFont="1" applyFill="1" applyAlignment="1">
      <alignment horizontal="center"/>
    </xf>
    <xf numFmtId="2" fontId="0" fillId="0" borderId="0" xfId="0" applyNumberFormat="1"/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18" fillId="0" borderId="31" xfId="0" applyFont="1" applyBorder="1" applyAlignment="1">
      <alignment horizontal="right"/>
    </xf>
    <xf numFmtId="0" fontId="18" fillId="0" borderId="28" xfId="0" applyFont="1" applyBorder="1" applyAlignment="1">
      <alignment horizontal="center"/>
    </xf>
    <xf numFmtId="0" fontId="0" fillId="34" borderId="29" xfId="0" applyFill="1" applyBorder="1" applyAlignment="1">
      <alignment horizontal="center"/>
    </xf>
    <xf numFmtId="0" fontId="0" fillId="0" borderId="32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34" xfId="0" applyBorder="1" applyAlignment="1">
      <alignment horizontal="right"/>
    </xf>
    <xf numFmtId="1" fontId="0" fillId="0" borderId="23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8" xfId="0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165" fontId="18" fillId="0" borderId="36" xfId="0" applyNumberFormat="1" applyFont="1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0" fillId="0" borderId="30" xfId="0" quotePrefix="1" applyBorder="1" applyAlignment="1">
      <alignment horizontal="center"/>
    </xf>
    <xf numFmtId="14" fontId="0" fillId="0" borderId="21" xfId="0" applyNumberFormat="1" applyBorder="1"/>
    <xf numFmtId="0" fontId="0" fillId="0" borderId="21" xfId="0" applyBorder="1"/>
    <xf numFmtId="14" fontId="0" fillId="36" borderId="20" xfId="0" applyNumberForma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0" fillId="0" borderId="28" xfId="0" quotePrefix="1" applyBorder="1"/>
    <xf numFmtId="0" fontId="0" fillId="0" borderId="15" xfId="0" applyBorder="1" applyAlignment="1">
      <alignment horizontal="right"/>
    </xf>
    <xf numFmtId="0" fontId="0" fillId="0" borderId="28" xfId="0" applyBorder="1"/>
    <xf numFmtId="14" fontId="0" fillId="34" borderId="20" xfId="0" applyNumberFormat="1" applyFill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29" xfId="0" applyBorder="1" applyAlignment="1">
      <alignment horizontal="left"/>
    </xf>
    <xf numFmtId="2" fontId="19" fillId="35" borderId="10" xfId="0" applyNumberFormat="1" applyFont="1" applyFill="1" applyBorder="1" applyAlignment="1">
      <alignment horizontal="center"/>
    </xf>
    <xf numFmtId="2" fontId="19" fillId="35" borderId="11" xfId="0" applyNumberFormat="1" applyFont="1" applyFill="1" applyBorder="1" applyAlignment="1">
      <alignment horizontal="center"/>
    </xf>
    <xf numFmtId="0" fontId="0" fillId="0" borderId="37" xfId="0" applyBorder="1"/>
    <xf numFmtId="14" fontId="0" fillId="0" borderId="38" xfId="0" applyNumberFormat="1" applyBorder="1"/>
    <xf numFmtId="0" fontId="0" fillId="0" borderId="38" xfId="0" applyBorder="1"/>
    <xf numFmtId="0" fontId="0" fillId="0" borderId="41" xfId="0" applyBorder="1"/>
    <xf numFmtId="0" fontId="0" fillId="0" borderId="37" xfId="0" applyBorder="1" applyAlignment="1">
      <alignment horizontal="center"/>
    </xf>
    <xf numFmtId="14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14" fontId="0" fillId="36" borderId="20" xfId="0" applyNumberFormat="1" applyFill="1" applyBorder="1"/>
    <xf numFmtId="2" fontId="0" fillId="0" borderId="42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20" xfId="0" applyFont="1" applyBorder="1" applyAlignment="1">
      <alignment horizontal="center"/>
    </xf>
    <xf numFmtId="14" fontId="21" fillId="0" borderId="20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14" fontId="21" fillId="0" borderId="21" xfId="0" applyNumberFormat="1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14" fontId="21" fillId="0" borderId="26" xfId="0" applyNumberFormat="1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14" fontId="23" fillId="0" borderId="20" xfId="0" applyNumberFormat="1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4" fontId="23" fillId="0" borderId="21" xfId="0" applyNumberFormat="1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14" fontId="23" fillId="0" borderId="26" xfId="0" applyNumberFormat="1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1" fillId="34" borderId="29" xfId="0" applyFont="1" applyFill="1" applyBorder="1" applyAlignment="1">
      <alignment horizontal="center"/>
    </xf>
    <xf numFmtId="0" fontId="23" fillId="34" borderId="24" xfId="0" applyFont="1" applyFill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23" fillId="34" borderId="29" xfId="0" applyFont="1" applyFill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19" fillId="35" borderId="12" xfId="0" applyNumberFormat="1" applyFont="1" applyFill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8E96-3062-E445-B64D-7D9F0059CEAD}">
  <dimension ref="A1:DN46"/>
  <sheetViews>
    <sheetView tabSelected="1" topLeftCell="Z1" zoomScale="80" zoomScaleNormal="80" workbookViewId="0">
      <selection activeCell="AG26" sqref="AG26"/>
    </sheetView>
  </sheetViews>
  <sheetFormatPr baseColWidth="10" defaultRowHeight="16" x14ac:dyDescent="0.2"/>
  <cols>
    <col min="1" max="1" width="15.33203125" style="12" bestFit="1" customWidth="1"/>
    <col min="2" max="2" width="7.5" style="12" bestFit="1" customWidth="1"/>
    <col min="3" max="3" width="16.33203125" style="12" bestFit="1" customWidth="1"/>
    <col min="4" max="4" width="24.83203125" style="12" bestFit="1" customWidth="1"/>
    <col min="5" max="5" width="25" style="12" bestFit="1" customWidth="1"/>
    <col min="6" max="6" width="15.33203125" bestFit="1" customWidth="1"/>
    <col min="7" max="7" width="6.5" style="12" bestFit="1" customWidth="1"/>
    <col min="8" max="8" width="17.33203125" style="12" bestFit="1" customWidth="1"/>
    <col min="9" max="9" width="26" style="12" bestFit="1" customWidth="1"/>
    <col min="10" max="10" width="26.1640625" style="12" bestFit="1" customWidth="1"/>
    <col min="11" max="11" width="17.1640625" style="12" bestFit="1" customWidth="1"/>
    <col min="12" max="12" width="11" style="12" customWidth="1"/>
    <col min="13" max="13" width="16.33203125" style="12" bestFit="1" customWidth="1"/>
    <col min="14" max="14" width="24.83203125" style="12" bestFit="1" customWidth="1"/>
    <col min="15" max="15" width="25" style="12" bestFit="1" customWidth="1"/>
    <col min="16" max="16" width="17.1640625" style="12" bestFit="1" customWidth="1"/>
    <col min="17" max="17" width="10.83203125" style="12"/>
    <col min="18" max="18" width="17.5" style="12" bestFit="1" customWidth="1"/>
    <col min="19" max="19" width="24.83203125" style="12" bestFit="1" customWidth="1"/>
    <col min="20" max="20" width="25" style="12" bestFit="1" customWidth="1"/>
    <col min="21" max="21" width="17.1640625" bestFit="1" customWidth="1"/>
    <col min="23" max="23" width="16.33203125" bestFit="1" customWidth="1"/>
    <col min="24" max="24" width="24.83203125" bestFit="1" customWidth="1"/>
    <col min="25" max="25" width="25" bestFit="1" customWidth="1"/>
    <col min="26" max="26" width="17.5" style="12" bestFit="1" customWidth="1"/>
    <col min="27" max="27" width="6.83203125" style="12" bestFit="1" customWidth="1"/>
    <col min="28" max="28" width="16.83203125" style="12" bestFit="1" customWidth="1"/>
    <col min="29" max="29" width="25.6640625" style="12" bestFit="1" customWidth="1"/>
    <col min="30" max="30" width="25.1640625" style="12" bestFit="1" customWidth="1"/>
    <col min="31" max="31" width="17.5" bestFit="1" customWidth="1"/>
    <col min="32" max="32" width="8" bestFit="1" customWidth="1"/>
    <col min="33" max="33" width="17.5" bestFit="1" customWidth="1"/>
    <col min="34" max="34" width="26.5" bestFit="1" customWidth="1"/>
    <col min="35" max="35" width="26.83203125" bestFit="1" customWidth="1"/>
    <col min="36" max="36" width="17.5" style="12" bestFit="1" customWidth="1"/>
    <col min="37" max="37" width="8" style="12" bestFit="1" customWidth="1"/>
    <col min="38" max="38" width="17.5" style="12" bestFit="1" customWidth="1"/>
    <col min="39" max="39" width="26.5" style="12" bestFit="1" customWidth="1"/>
    <col min="40" max="40" width="26.83203125" style="12" bestFit="1" customWidth="1"/>
    <col min="41" max="41" width="17.5" style="12" bestFit="1" customWidth="1"/>
    <col min="42" max="42" width="11" style="12" customWidth="1"/>
    <col min="43" max="43" width="17.5" style="12" bestFit="1" customWidth="1"/>
    <col min="44" max="44" width="26.5" style="12" bestFit="1" customWidth="1"/>
    <col min="45" max="45" width="26.83203125" style="12" bestFit="1" customWidth="1"/>
    <col min="46" max="46" width="17.5" style="12" bestFit="1" customWidth="1"/>
    <col min="47" max="47" width="13.6640625" style="12" customWidth="1"/>
    <col min="48" max="48" width="17.5" style="12" bestFit="1" customWidth="1"/>
    <col min="49" max="49" width="26.5" style="12" bestFit="1" customWidth="1"/>
    <col min="50" max="50" width="26.83203125" style="12" bestFit="1" customWidth="1"/>
    <col min="51" max="51" width="17.5" style="12" bestFit="1" customWidth="1"/>
    <col min="52" max="52" width="9" style="12" bestFit="1" customWidth="1"/>
    <col min="53" max="53" width="17.5" style="12" bestFit="1" customWidth="1"/>
    <col min="54" max="54" width="26.5" style="12" bestFit="1" customWidth="1"/>
    <col min="55" max="55" width="26.83203125" style="12" bestFit="1" customWidth="1"/>
    <col min="56" max="56" width="17.5" style="12" bestFit="1" customWidth="1"/>
    <col min="57" max="57" width="9" style="12" bestFit="1" customWidth="1"/>
    <col min="58" max="58" width="17.5" style="12" bestFit="1" customWidth="1"/>
    <col min="59" max="59" width="26.5" style="12" bestFit="1" customWidth="1"/>
    <col min="60" max="60" width="26.83203125" style="12" bestFit="1" customWidth="1"/>
    <col min="61" max="61" width="17.5" style="115" bestFit="1" customWidth="1"/>
    <col min="62" max="62" width="14.1640625" style="115" customWidth="1"/>
    <col min="63" max="63" width="16.33203125" style="115" customWidth="1"/>
    <col min="64" max="64" width="17.33203125" style="115" customWidth="1"/>
    <col min="65" max="65" width="26.83203125" style="115" bestFit="1" customWidth="1"/>
    <col min="66" max="66" width="17.5" style="12" bestFit="1" customWidth="1"/>
    <col min="67" max="67" width="10.83203125" style="12" customWidth="1"/>
    <col min="68" max="68" width="18.5" style="12" bestFit="1" customWidth="1"/>
    <col min="69" max="69" width="27" style="12" bestFit="1" customWidth="1"/>
    <col min="70" max="70" width="27.5" style="12" customWidth="1"/>
    <col min="71" max="71" width="17.5" style="12" bestFit="1" customWidth="1"/>
    <col min="72" max="72" width="10.83203125" style="12" customWidth="1"/>
    <col min="73" max="73" width="18.5" style="12" bestFit="1" customWidth="1"/>
    <col min="74" max="74" width="27" style="12" bestFit="1" customWidth="1"/>
    <col min="75" max="75" width="27" style="12" customWidth="1"/>
    <col min="76" max="76" width="20.33203125" style="12" customWidth="1"/>
    <col min="77" max="77" width="10.83203125" style="12" customWidth="1"/>
    <col min="78" max="78" width="18.5" style="12" bestFit="1" customWidth="1"/>
    <col min="79" max="79" width="27" style="12" bestFit="1" customWidth="1"/>
    <col min="80" max="80" width="27" style="12" customWidth="1"/>
    <col min="81" max="81" width="10.83203125" hidden="1" customWidth="1"/>
    <col min="82" max="82" width="13.6640625" hidden="1" customWidth="1"/>
    <col min="83" max="83" width="14" hidden="1" customWidth="1"/>
    <col min="84" max="84" width="16.6640625" hidden="1" customWidth="1"/>
    <col min="85" max="85" width="17.6640625" hidden="1" customWidth="1"/>
    <col min="86" max="88" width="10.83203125" hidden="1" customWidth="1"/>
    <col min="89" max="89" width="16.83203125" hidden="1" customWidth="1"/>
    <col min="90" max="90" width="17.6640625" hidden="1" customWidth="1"/>
    <col min="91" max="91" width="10.83203125" hidden="1" customWidth="1"/>
    <col min="92" max="92" width="13.6640625" hidden="1" customWidth="1"/>
    <col min="93" max="93" width="14" hidden="1" customWidth="1"/>
    <col min="94" max="94" width="16.6640625" hidden="1" customWidth="1"/>
    <col min="95" max="95" width="19" hidden="1" customWidth="1"/>
    <col min="96" max="99" width="10.83203125" hidden="1" customWidth="1"/>
    <col min="100" max="100" width="17.6640625" hidden="1" customWidth="1"/>
    <col min="101" max="101" width="8.83203125" hidden="1" customWidth="1"/>
    <col min="102" max="102" width="13.83203125" hidden="1" customWidth="1"/>
    <col min="103" max="103" width="14" hidden="1" customWidth="1"/>
    <col min="104" max="104" width="0.1640625" customWidth="1"/>
    <col min="105" max="105" width="7.83203125" customWidth="1"/>
    <col min="106" max="106" width="23.83203125" style="12" customWidth="1"/>
    <col min="107" max="107" width="11" style="60" customWidth="1"/>
    <col min="108" max="108" width="11.1640625" style="60" customWidth="1"/>
    <col min="109" max="109" width="19.83203125" style="60" bestFit="1" customWidth="1"/>
    <col min="110" max="110" width="16" bestFit="1" customWidth="1"/>
    <col min="111" max="111" width="18.5" bestFit="1" customWidth="1"/>
    <col min="112" max="112" width="20.5" customWidth="1"/>
    <col min="113" max="113" width="20.33203125" bestFit="1" customWidth="1"/>
    <col min="114" max="114" width="22.83203125" bestFit="1" customWidth="1"/>
    <col min="115" max="115" width="21.1640625" bestFit="1" customWidth="1"/>
    <col min="116" max="116" width="24.83203125" customWidth="1"/>
    <col min="117" max="117" width="25.1640625" customWidth="1"/>
    <col min="118" max="118" width="24.1640625" customWidth="1"/>
  </cols>
  <sheetData>
    <row r="1" spans="1:118" ht="17" thickBot="1" x14ac:dyDescent="0.25">
      <c r="A1" s="46" t="s">
        <v>8</v>
      </c>
      <c r="B1" s="47" t="s">
        <v>9</v>
      </c>
      <c r="C1" s="47" t="s">
        <v>10</v>
      </c>
      <c r="D1" s="47" t="s">
        <v>11</v>
      </c>
      <c r="E1" s="48" t="s">
        <v>12</v>
      </c>
      <c r="F1" s="1" t="s">
        <v>8</v>
      </c>
      <c r="G1" s="15" t="s">
        <v>9</v>
      </c>
      <c r="H1" s="15" t="s">
        <v>10</v>
      </c>
      <c r="I1" s="15" t="s">
        <v>11</v>
      </c>
      <c r="J1" s="15" t="s">
        <v>12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8</v>
      </c>
      <c r="Q1" s="15" t="s">
        <v>9</v>
      </c>
      <c r="R1" s="15" t="s">
        <v>10</v>
      </c>
      <c r="S1" s="15" t="s">
        <v>11</v>
      </c>
      <c r="T1" s="15" t="s">
        <v>12</v>
      </c>
      <c r="U1" s="15" t="s">
        <v>8</v>
      </c>
      <c r="V1" s="15" t="s">
        <v>9</v>
      </c>
      <c r="W1" s="15" t="s">
        <v>10</v>
      </c>
      <c r="X1" s="15" t="s">
        <v>11</v>
      </c>
      <c r="Y1" s="15" t="s">
        <v>12</v>
      </c>
      <c r="Z1" s="15" t="s">
        <v>8</v>
      </c>
      <c r="AA1" s="15" t="s">
        <v>9</v>
      </c>
      <c r="AB1" s="15" t="s">
        <v>10</v>
      </c>
      <c r="AC1" s="15" t="s">
        <v>11</v>
      </c>
      <c r="AD1" s="15" t="s">
        <v>12</v>
      </c>
      <c r="AE1" s="15" t="s">
        <v>8</v>
      </c>
      <c r="AF1" s="15" t="s">
        <v>9</v>
      </c>
      <c r="AG1" s="15" t="s">
        <v>10</v>
      </c>
      <c r="AH1" s="15" t="s">
        <v>11</v>
      </c>
      <c r="AI1" s="15" t="s">
        <v>12</v>
      </c>
      <c r="AJ1" s="15" t="s">
        <v>8</v>
      </c>
      <c r="AK1" s="15" t="s">
        <v>9</v>
      </c>
      <c r="AL1" s="15" t="s">
        <v>10</v>
      </c>
      <c r="AM1" s="15" t="s">
        <v>11</v>
      </c>
      <c r="AN1" s="15" t="s">
        <v>12</v>
      </c>
      <c r="AO1" s="15" t="s">
        <v>8</v>
      </c>
      <c r="AP1" s="15" t="s">
        <v>9</v>
      </c>
      <c r="AQ1" s="15" t="s">
        <v>10</v>
      </c>
      <c r="AR1" s="15" t="s">
        <v>11</v>
      </c>
      <c r="AS1" s="15" t="s">
        <v>12</v>
      </c>
      <c r="AT1" s="15" t="s">
        <v>8</v>
      </c>
      <c r="AU1" s="15" t="s">
        <v>9</v>
      </c>
      <c r="AV1" s="15" t="s">
        <v>10</v>
      </c>
      <c r="AW1" s="15" t="s">
        <v>11</v>
      </c>
      <c r="AX1" s="15" t="s">
        <v>12</v>
      </c>
      <c r="AY1" s="15" t="s">
        <v>8</v>
      </c>
      <c r="AZ1" s="15" t="s">
        <v>9</v>
      </c>
      <c r="BA1" s="15" t="s">
        <v>10</v>
      </c>
      <c r="BB1" s="15" t="s">
        <v>11</v>
      </c>
      <c r="BC1" s="15" t="s">
        <v>12</v>
      </c>
      <c r="BD1" s="15" t="s">
        <v>8</v>
      </c>
      <c r="BE1" s="15" t="s">
        <v>9</v>
      </c>
      <c r="BF1" s="15" t="s">
        <v>10</v>
      </c>
      <c r="BG1" s="15" t="s">
        <v>11</v>
      </c>
      <c r="BH1" s="15" t="s">
        <v>12</v>
      </c>
      <c r="BI1" s="15" t="s">
        <v>8</v>
      </c>
      <c r="BJ1" s="15" t="s">
        <v>9</v>
      </c>
      <c r="BK1" s="15" t="s">
        <v>10</v>
      </c>
      <c r="BL1" s="15" t="s">
        <v>11</v>
      </c>
      <c r="BM1" s="15" t="s">
        <v>12</v>
      </c>
      <c r="BN1" s="15" t="s">
        <v>8</v>
      </c>
      <c r="BO1" s="15" t="s">
        <v>9</v>
      </c>
      <c r="BP1" s="15" t="s">
        <v>10</v>
      </c>
      <c r="BQ1" s="15" t="s">
        <v>11</v>
      </c>
      <c r="BR1" s="15" t="s">
        <v>12</v>
      </c>
      <c r="BS1" s="15" t="s">
        <v>8</v>
      </c>
      <c r="BT1" s="15" t="s">
        <v>9</v>
      </c>
      <c r="BU1" s="15" t="s">
        <v>10</v>
      </c>
      <c r="BV1" s="15" t="s">
        <v>11</v>
      </c>
      <c r="BW1" s="15" t="s">
        <v>12</v>
      </c>
      <c r="BX1" s="15" t="s">
        <v>8</v>
      </c>
      <c r="BY1" s="15" t="s">
        <v>9</v>
      </c>
      <c r="BZ1" s="15" t="s">
        <v>10</v>
      </c>
      <c r="CA1" s="15" t="s">
        <v>11</v>
      </c>
      <c r="CB1" s="15" t="s">
        <v>12</v>
      </c>
      <c r="CC1" s="14"/>
      <c r="CD1" s="14"/>
      <c r="CE1" s="14"/>
      <c r="CF1" s="16"/>
      <c r="CG1" s="13"/>
      <c r="CH1" s="14"/>
      <c r="CI1" s="14"/>
      <c r="CJ1" s="14"/>
      <c r="CK1" s="16"/>
      <c r="CL1" s="13"/>
      <c r="CM1" s="14"/>
      <c r="CN1" s="14"/>
      <c r="CO1" s="14"/>
      <c r="CP1" s="16"/>
      <c r="CQ1" s="13"/>
      <c r="CR1" s="14"/>
      <c r="CS1" s="14"/>
      <c r="CT1" s="14"/>
      <c r="CU1" s="16"/>
      <c r="CV1" s="13"/>
      <c r="CW1" s="14"/>
      <c r="CX1" s="14"/>
      <c r="CY1" s="14"/>
      <c r="CZ1" s="16"/>
      <c r="DB1" s="59" t="s">
        <v>8</v>
      </c>
      <c r="DC1" s="97" t="s">
        <v>49</v>
      </c>
      <c r="DD1" s="98" t="s">
        <v>46</v>
      </c>
      <c r="DE1" s="157" t="s">
        <v>47</v>
      </c>
      <c r="DF1" s="87" t="s">
        <v>56</v>
      </c>
      <c r="DG1" s="88" t="s">
        <v>57</v>
      </c>
      <c r="DH1" s="89" t="s">
        <v>58</v>
      </c>
      <c r="DI1" s="88" t="s">
        <v>62</v>
      </c>
      <c r="DJ1" s="88" t="s">
        <v>63</v>
      </c>
      <c r="DK1" s="88" t="s">
        <v>64</v>
      </c>
      <c r="DL1" s="87" t="s">
        <v>59</v>
      </c>
      <c r="DM1" s="88" t="s">
        <v>60</v>
      </c>
      <c r="DN1" s="89" t="s">
        <v>61</v>
      </c>
    </row>
    <row r="2" spans="1:118" x14ac:dyDescent="0.2">
      <c r="A2" s="30" t="s">
        <v>13</v>
      </c>
      <c r="B2" s="28">
        <v>45861</v>
      </c>
      <c r="C2" s="27">
        <v>0.81</v>
      </c>
      <c r="D2" s="27">
        <v>44.6</v>
      </c>
      <c r="E2" s="49">
        <v>-1.34</v>
      </c>
      <c r="F2" s="53" t="s">
        <v>13</v>
      </c>
      <c r="G2" s="54">
        <v>45870</v>
      </c>
      <c r="H2" s="29">
        <v>0.8</v>
      </c>
      <c r="I2" s="29">
        <v>49.3</v>
      </c>
      <c r="J2" s="75">
        <v>-1.41</v>
      </c>
      <c r="K2" s="74" t="s">
        <v>13</v>
      </c>
      <c r="L2" s="54">
        <v>45883</v>
      </c>
      <c r="M2" s="29">
        <v>0.91</v>
      </c>
      <c r="N2" s="29">
        <v>42.4</v>
      </c>
      <c r="O2" s="75">
        <v>-1.43</v>
      </c>
      <c r="P2" s="74" t="s">
        <v>13</v>
      </c>
      <c r="Q2" s="54">
        <v>45889</v>
      </c>
      <c r="R2" s="29">
        <v>0.99</v>
      </c>
      <c r="S2" s="29">
        <v>42.9</v>
      </c>
      <c r="T2" s="75">
        <v>-1.37</v>
      </c>
      <c r="U2" s="74" t="s">
        <v>13</v>
      </c>
      <c r="V2" s="54">
        <v>45897</v>
      </c>
      <c r="W2" s="29">
        <v>0.93</v>
      </c>
      <c r="X2" s="29">
        <v>43</v>
      </c>
      <c r="Y2" s="75">
        <v>-1.19</v>
      </c>
      <c r="Z2" s="74" t="s">
        <v>13</v>
      </c>
      <c r="AA2" s="54">
        <v>45904</v>
      </c>
      <c r="AB2" s="29">
        <v>0.86</v>
      </c>
      <c r="AC2" s="29">
        <v>40.5</v>
      </c>
      <c r="AD2" s="75">
        <v>-1.35</v>
      </c>
      <c r="AE2" s="74" t="s">
        <v>13</v>
      </c>
      <c r="AF2" s="54">
        <v>45918</v>
      </c>
      <c r="AG2" s="29">
        <v>0.86</v>
      </c>
      <c r="AH2" s="29">
        <v>42.5</v>
      </c>
      <c r="AI2" s="75">
        <v>-1.19</v>
      </c>
      <c r="AJ2" s="74" t="s">
        <v>13</v>
      </c>
      <c r="AK2" s="54">
        <v>45925</v>
      </c>
      <c r="AL2" s="29">
        <v>0.94</v>
      </c>
      <c r="AM2" s="29">
        <v>35.6</v>
      </c>
      <c r="AN2" s="75">
        <v>-1.0900000000000001</v>
      </c>
      <c r="AO2" s="74" t="s">
        <v>13</v>
      </c>
      <c r="AP2" s="54">
        <v>45932</v>
      </c>
      <c r="AQ2" s="29">
        <v>1.17</v>
      </c>
      <c r="AR2" s="29">
        <v>40.299999999999997</v>
      </c>
      <c r="AS2" s="75">
        <v>-1.03</v>
      </c>
      <c r="AT2" s="74" t="s">
        <v>13</v>
      </c>
      <c r="AU2" s="54">
        <v>45939</v>
      </c>
      <c r="AV2" s="29">
        <v>0.95</v>
      </c>
      <c r="AW2" s="29">
        <v>40.799999999999997</v>
      </c>
      <c r="AX2" s="75">
        <v>-0.96</v>
      </c>
      <c r="AY2" s="74" t="s">
        <v>13</v>
      </c>
      <c r="AZ2" s="54">
        <v>45946</v>
      </c>
      <c r="BA2" s="29">
        <v>1.0900000000000001</v>
      </c>
      <c r="BB2" s="29">
        <v>42.4</v>
      </c>
      <c r="BC2" s="75">
        <v>-1.21</v>
      </c>
      <c r="BD2" s="74" t="s">
        <v>13</v>
      </c>
      <c r="BE2" s="54">
        <v>45953</v>
      </c>
      <c r="BF2" s="29">
        <v>1.06</v>
      </c>
      <c r="BG2" s="29">
        <v>41.1</v>
      </c>
      <c r="BH2" s="75">
        <v>-1.06</v>
      </c>
      <c r="BI2" s="118" t="s">
        <v>13</v>
      </c>
      <c r="BJ2" s="119">
        <v>45960</v>
      </c>
      <c r="BK2" s="120">
        <v>1.08</v>
      </c>
      <c r="BL2" s="120">
        <v>42</v>
      </c>
      <c r="BM2" s="132">
        <v>-1.22</v>
      </c>
      <c r="BN2" s="137" t="s">
        <v>13</v>
      </c>
      <c r="BO2" s="138">
        <v>45967</v>
      </c>
      <c r="BP2" s="139">
        <v>1.05</v>
      </c>
      <c r="BQ2" s="139">
        <v>40.799999999999997</v>
      </c>
      <c r="BR2" s="150">
        <v>-1.08</v>
      </c>
      <c r="BS2" s="137" t="s">
        <v>13</v>
      </c>
      <c r="BT2" s="138">
        <v>45974</v>
      </c>
      <c r="BU2" s="139">
        <v>0.95</v>
      </c>
      <c r="BV2" s="139">
        <v>41.4</v>
      </c>
      <c r="BW2" s="150">
        <v>-1.04</v>
      </c>
      <c r="BX2" s="137" t="s">
        <v>13</v>
      </c>
      <c r="BY2" s="138">
        <v>45981</v>
      </c>
      <c r="BZ2" s="139">
        <v>1.06</v>
      </c>
      <c r="CA2" s="139">
        <v>38.299999999999997</v>
      </c>
      <c r="CB2" s="140">
        <v>-1.05</v>
      </c>
      <c r="CC2" s="17"/>
      <c r="CF2" s="19"/>
      <c r="CG2" s="18"/>
      <c r="CH2" s="17"/>
      <c r="CK2" s="19"/>
      <c r="CL2" s="18"/>
      <c r="CM2" s="17"/>
      <c r="CP2" s="19"/>
      <c r="CQ2" s="18"/>
      <c r="CR2" s="17"/>
      <c r="CU2" s="19"/>
      <c r="CV2" s="18"/>
      <c r="CW2" s="17"/>
      <c r="CZ2" s="19"/>
      <c r="DA2" s="8"/>
      <c r="DB2" s="78" t="s">
        <v>13</v>
      </c>
      <c r="DC2" s="10">
        <f>AVERAGE(C2,H2,M2,R2,W2,AB2,AG2,AL2,AQ2,AV2,BA2,BF2,BK2,BP2,BU2,BZ2)</f>
        <v>0.96937499999999999</v>
      </c>
      <c r="DD2" s="61">
        <f t="shared" ref="DD2:DE2" si="0">AVERAGE(D2,I2,N2,S2,X2,AC2,AH2,AM2,AR2,AW2,BB2,BG2,BL2,BQ2,BV2,CA2)</f>
        <v>41.743749999999999</v>
      </c>
      <c r="DE2" s="62">
        <f t="shared" si="0"/>
        <v>-1.18875</v>
      </c>
      <c r="DF2" s="10">
        <f>(BZ2-DC2)/DC2</f>
        <v>9.3488072211476536E-2</v>
      </c>
      <c r="DG2" s="61">
        <f t="shared" ref="DG2:DH2" si="1">(CA2-DD2)/DD2</f>
        <v>-8.2497379847282559E-2</v>
      </c>
      <c r="DH2" s="62">
        <f t="shared" si="1"/>
        <v>-0.11671924290220814</v>
      </c>
      <c r="DI2" s="10">
        <f>(BZ2-BU2)/BU2</f>
        <v>0.11578947368421064</v>
      </c>
      <c r="DJ2" s="61">
        <f t="shared" ref="DJ2:DK2" si="2">(CA2-BV2)/BV2</f>
        <v>-7.4879227053140138E-2</v>
      </c>
      <c r="DK2" s="62">
        <f t="shared" si="2"/>
        <v>9.6153846153846229E-3</v>
      </c>
      <c r="DL2" s="10">
        <f>(BZ2-C2)/C2</f>
        <v>0.30864197530864196</v>
      </c>
      <c r="DM2" s="61">
        <f t="shared" ref="DM2:DN2" si="3">(CA2-D2)/D2</f>
        <v>-0.14125560538116602</v>
      </c>
      <c r="DN2" s="62">
        <f t="shared" si="3"/>
        <v>-0.21641791044776121</v>
      </c>
    </row>
    <row r="3" spans="1:118" x14ac:dyDescent="0.2">
      <c r="A3" s="30" t="s">
        <v>14</v>
      </c>
      <c r="B3" s="28">
        <v>45861</v>
      </c>
      <c r="C3" s="27">
        <v>0.82</v>
      </c>
      <c r="D3" s="27">
        <v>35.299999999999997</v>
      </c>
      <c r="E3" s="49">
        <v>-0.96</v>
      </c>
      <c r="F3" s="35"/>
      <c r="G3" s="26"/>
      <c r="H3" s="26"/>
      <c r="I3" s="26"/>
      <c r="J3" s="40"/>
      <c r="K3" s="30" t="s">
        <v>14</v>
      </c>
      <c r="L3" s="28">
        <v>45883</v>
      </c>
      <c r="M3" s="27">
        <v>0.93</v>
      </c>
      <c r="N3" s="27">
        <v>40.299999999999997</v>
      </c>
      <c r="O3" s="49">
        <v>-1.01</v>
      </c>
      <c r="P3" s="30" t="s">
        <v>14</v>
      </c>
      <c r="Q3" s="28">
        <v>45889</v>
      </c>
      <c r="R3" s="27">
        <v>1.08</v>
      </c>
      <c r="S3" s="27">
        <v>42.4</v>
      </c>
      <c r="T3" s="49">
        <v>-1.26</v>
      </c>
      <c r="U3" s="30" t="s">
        <v>14</v>
      </c>
      <c r="V3" s="28">
        <v>45897</v>
      </c>
      <c r="W3" s="27">
        <v>0.96</v>
      </c>
      <c r="X3" s="27">
        <v>39.700000000000003</v>
      </c>
      <c r="Y3" s="49">
        <v>-1.1200000000000001</v>
      </c>
      <c r="Z3" s="30" t="s">
        <v>14</v>
      </c>
      <c r="AA3" s="28">
        <v>45904</v>
      </c>
      <c r="AB3" s="27">
        <v>0.92</v>
      </c>
      <c r="AC3" s="27">
        <v>39.5</v>
      </c>
      <c r="AD3" s="49">
        <v>-1.17</v>
      </c>
      <c r="AE3" s="30" t="s">
        <v>14</v>
      </c>
      <c r="AF3" s="28">
        <v>45918</v>
      </c>
      <c r="AG3" s="27">
        <v>0.97</v>
      </c>
      <c r="AH3" s="27">
        <v>39.200000000000003</v>
      </c>
      <c r="AI3" s="49">
        <v>-1.26</v>
      </c>
      <c r="AJ3" s="30" t="s">
        <v>14</v>
      </c>
      <c r="AK3" s="28">
        <v>45925</v>
      </c>
      <c r="AL3" s="27">
        <v>1.0900000000000001</v>
      </c>
      <c r="AM3" s="27">
        <v>37.799999999999997</v>
      </c>
      <c r="AN3" s="49">
        <v>-1.02</v>
      </c>
      <c r="AO3" s="30" t="s">
        <v>14</v>
      </c>
      <c r="AP3" s="28">
        <v>45932</v>
      </c>
      <c r="AQ3" s="27">
        <v>1.05</v>
      </c>
      <c r="AR3" s="27">
        <v>39.1</v>
      </c>
      <c r="AS3" s="49">
        <v>-1.1299999999999999</v>
      </c>
      <c r="AT3" s="30" t="s">
        <v>14</v>
      </c>
      <c r="AU3" s="28">
        <v>45939</v>
      </c>
      <c r="AV3" s="27">
        <v>1.02</v>
      </c>
      <c r="AW3" s="27">
        <v>36.6</v>
      </c>
      <c r="AX3" s="49">
        <v>-0.92</v>
      </c>
      <c r="AY3" s="30" t="s">
        <v>14</v>
      </c>
      <c r="AZ3" s="28">
        <v>45946</v>
      </c>
      <c r="BA3" s="27">
        <v>0.82</v>
      </c>
      <c r="BB3" s="27">
        <v>37.4</v>
      </c>
      <c r="BC3" s="49">
        <v>-0.92</v>
      </c>
      <c r="BD3" s="30"/>
      <c r="BE3" s="27"/>
      <c r="BF3" s="27"/>
      <c r="BG3" s="27"/>
      <c r="BH3" s="49"/>
      <c r="BI3" s="121" t="s">
        <v>14</v>
      </c>
      <c r="BJ3" s="117">
        <v>45960</v>
      </c>
      <c r="BK3" s="116">
        <v>1.1200000000000001</v>
      </c>
      <c r="BL3" s="116">
        <v>36.200000000000003</v>
      </c>
      <c r="BM3" s="133">
        <v>-1.1200000000000001</v>
      </c>
      <c r="BN3" s="141" t="s">
        <v>14</v>
      </c>
      <c r="BO3" s="135">
        <v>45967</v>
      </c>
      <c r="BP3" s="136">
        <v>0.96</v>
      </c>
      <c r="BQ3" s="136">
        <v>36.4</v>
      </c>
      <c r="BR3" s="151">
        <v>-1.1399999999999999</v>
      </c>
      <c r="BS3" s="141" t="s">
        <v>14</v>
      </c>
      <c r="BT3" s="135">
        <v>45974</v>
      </c>
      <c r="BU3" s="136">
        <v>0.96</v>
      </c>
      <c r="BV3" s="136">
        <v>39</v>
      </c>
      <c r="BW3" s="151">
        <v>-1.1299999999999999</v>
      </c>
      <c r="BX3" s="141" t="s">
        <v>14</v>
      </c>
      <c r="BY3" s="135">
        <v>45981</v>
      </c>
      <c r="BZ3" s="136">
        <v>1.19</v>
      </c>
      <c r="CA3" s="136">
        <v>34.1</v>
      </c>
      <c r="CB3" s="142">
        <v>-0.98</v>
      </c>
      <c r="CC3" s="17"/>
      <c r="CF3" s="19"/>
      <c r="CG3" s="18"/>
      <c r="CH3" s="17"/>
      <c r="CK3" s="19"/>
      <c r="CL3" s="18"/>
      <c r="CP3" s="19"/>
      <c r="CQ3" s="18"/>
      <c r="CR3" s="17"/>
      <c r="CU3" s="19"/>
      <c r="CV3" s="18"/>
      <c r="CW3" s="17"/>
      <c r="CZ3" s="19"/>
      <c r="DA3" s="8"/>
      <c r="DB3" s="79" t="s">
        <v>14</v>
      </c>
      <c r="DC3" s="64">
        <f t="shared" ref="DC3:DC46" si="4">AVERAGE(C3,H3,M3,R3,W3,AB3,AG3,AL3,AQ3,AV3,BA3,BF3,BK3,BP3,BU3,BZ3)</f>
        <v>0.99214285714285733</v>
      </c>
      <c r="DD3" s="25">
        <f t="shared" ref="DD3:DD46" si="5">AVERAGE(D3,I3,N3,S3,X3,AC3,AH3,AM3,AR3,AW3,BB3,BG3,BL3,BQ3,BV3,CA3)</f>
        <v>38.071428571428569</v>
      </c>
      <c r="DE3" s="63">
        <f t="shared" ref="DE3:DE46" si="6">AVERAGE(E3,J3,O3,T3,Y3,AD3,AI3,AN3,AS3,AX3,BC3,BH3,BM3,BR3,BW3,CB3)</f>
        <v>-1.0814285714285714</v>
      </c>
      <c r="DF3" s="64">
        <f t="shared" ref="DF3:DF46" si="7">(BZ3-DC3)/DC3</f>
        <v>0.19942404607631362</v>
      </c>
      <c r="DG3" s="25">
        <f t="shared" ref="DG3:DG46" si="8">(CA3-DD3)/DD3</f>
        <v>-0.10431519699812375</v>
      </c>
      <c r="DH3" s="63">
        <f t="shared" ref="DH3:DH46" si="9">(CB3-DE3)/DE3</f>
        <v>-9.3791281373844113E-2</v>
      </c>
      <c r="DI3" s="64">
        <f t="shared" ref="DI3:DI46" si="10">(BZ3-BU3)/BU3</f>
        <v>0.23958333333333331</v>
      </c>
      <c r="DJ3" s="25">
        <f t="shared" ref="DJ3:DJ46" si="11">(CA3-BV3)/BV3</f>
        <v>-0.12564102564102561</v>
      </c>
      <c r="DK3" s="63">
        <f t="shared" ref="DK3:DK46" si="12">(CB3-BW3)/BW3</f>
        <v>-0.13274336283185834</v>
      </c>
      <c r="DL3" s="64">
        <f t="shared" ref="DL3:DL46" si="13">(BZ3-C3)/C3</f>
        <v>0.45121951219512196</v>
      </c>
      <c r="DM3" s="25">
        <f t="shared" ref="DM3:DM46" si="14">(CA3-D3)/D3</f>
        <v>-3.3994334277620282E-2</v>
      </c>
      <c r="DN3" s="63">
        <f t="shared" ref="DN3:DN46" si="15">(CB3-E3)/E3</f>
        <v>2.0833333333333353E-2</v>
      </c>
    </row>
    <row r="4" spans="1:118" x14ac:dyDescent="0.2">
      <c r="A4" s="30" t="s">
        <v>15</v>
      </c>
      <c r="B4" s="28">
        <v>45861</v>
      </c>
      <c r="C4" s="27">
        <v>0.79</v>
      </c>
      <c r="D4" s="27">
        <v>44.9</v>
      </c>
      <c r="E4" s="49">
        <v>-1.52</v>
      </c>
      <c r="F4" s="35"/>
      <c r="G4" s="27"/>
      <c r="H4" s="27"/>
      <c r="I4" s="27"/>
      <c r="J4" s="49"/>
      <c r="K4" s="30"/>
      <c r="L4" s="28"/>
      <c r="M4" s="27"/>
      <c r="N4" s="27"/>
      <c r="O4" s="49"/>
      <c r="P4" s="30"/>
      <c r="Q4" s="28"/>
      <c r="R4" s="27"/>
      <c r="S4" s="27"/>
      <c r="T4" s="49"/>
      <c r="U4" s="30"/>
      <c r="V4" s="27"/>
      <c r="W4" s="27"/>
      <c r="X4" s="27"/>
      <c r="Y4" s="49"/>
      <c r="Z4" s="30"/>
      <c r="AA4" s="27"/>
      <c r="AB4" s="27"/>
      <c r="AC4" s="27"/>
      <c r="AD4" s="49"/>
      <c r="AE4" s="35"/>
      <c r="AF4" s="26"/>
      <c r="AG4" s="26"/>
      <c r="AH4" s="26"/>
      <c r="AI4" s="40"/>
      <c r="AJ4" s="30"/>
      <c r="AK4" s="27"/>
      <c r="AL4" s="27"/>
      <c r="AM4" s="27"/>
      <c r="AN4" s="49"/>
      <c r="AO4" s="30" t="s">
        <v>15</v>
      </c>
      <c r="AP4" s="28">
        <v>45932</v>
      </c>
      <c r="AQ4" s="27">
        <v>0.64</v>
      </c>
      <c r="AR4" s="27">
        <v>38.299999999999997</v>
      </c>
      <c r="AS4" s="49">
        <v>-1.43</v>
      </c>
      <c r="AT4" s="30" t="s">
        <v>15</v>
      </c>
      <c r="AU4" s="28">
        <v>45939</v>
      </c>
      <c r="AV4" s="27">
        <v>0.7</v>
      </c>
      <c r="AW4" s="27">
        <v>34.4</v>
      </c>
      <c r="AX4" s="49">
        <v>-1.38</v>
      </c>
      <c r="AY4" s="30"/>
      <c r="AZ4" s="27"/>
      <c r="BA4" s="27"/>
      <c r="BB4" s="27"/>
      <c r="BC4" s="49"/>
      <c r="BD4" s="30"/>
      <c r="BE4" s="27"/>
      <c r="BF4" s="27"/>
      <c r="BG4" s="27"/>
      <c r="BH4" s="49"/>
      <c r="BI4" s="122"/>
      <c r="BJ4" s="52"/>
      <c r="BK4" s="52"/>
      <c r="BL4" s="52"/>
      <c r="BM4" s="76"/>
      <c r="BN4" s="30"/>
      <c r="BO4" s="27"/>
      <c r="BP4" s="27"/>
      <c r="BQ4" s="27"/>
      <c r="BR4" s="49"/>
      <c r="BS4" s="30"/>
      <c r="BT4" s="27"/>
      <c r="BU4" s="27"/>
      <c r="BV4" s="27"/>
      <c r="BW4" s="49"/>
      <c r="BX4" s="30"/>
      <c r="BY4" s="27"/>
      <c r="BZ4" s="27"/>
      <c r="CA4" s="27"/>
      <c r="CB4" s="31"/>
      <c r="CC4" s="17"/>
      <c r="CF4" s="19"/>
      <c r="CG4" s="18"/>
      <c r="CH4" s="17"/>
      <c r="CK4" s="19"/>
      <c r="CL4" s="18"/>
      <c r="CP4" s="19"/>
      <c r="CQ4" s="18"/>
      <c r="CR4" s="17"/>
      <c r="CU4" s="19"/>
      <c r="CV4" s="18"/>
      <c r="CW4" s="17"/>
      <c r="CZ4" s="19"/>
      <c r="DA4" s="8"/>
      <c r="DB4" s="79" t="s">
        <v>15</v>
      </c>
      <c r="DC4" s="64">
        <f t="shared" si="4"/>
        <v>0.71</v>
      </c>
      <c r="DD4" s="25">
        <f t="shared" si="5"/>
        <v>39.199999999999996</v>
      </c>
      <c r="DE4" s="63">
        <f t="shared" si="6"/>
        <v>-1.4433333333333334</v>
      </c>
      <c r="DF4" s="64"/>
      <c r="DG4" s="25"/>
      <c r="DH4" s="63"/>
      <c r="DI4" s="64"/>
      <c r="DJ4" s="25"/>
      <c r="DK4" s="63"/>
      <c r="DL4" s="64"/>
      <c r="DM4" s="25"/>
      <c r="DN4" s="63"/>
    </row>
    <row r="5" spans="1:118" x14ac:dyDescent="0.2">
      <c r="A5" s="30" t="s">
        <v>16</v>
      </c>
      <c r="B5" s="28">
        <v>45861</v>
      </c>
      <c r="C5" s="27">
        <v>1.05</v>
      </c>
      <c r="D5" s="27">
        <v>42.8</v>
      </c>
      <c r="E5" s="49">
        <v>-1.36</v>
      </c>
      <c r="F5" s="35" t="s">
        <v>16</v>
      </c>
      <c r="G5" s="28">
        <v>45870</v>
      </c>
      <c r="H5" s="27">
        <v>1.1499999999999999</v>
      </c>
      <c r="I5" s="27">
        <v>46.3</v>
      </c>
      <c r="J5" s="49">
        <v>-1.24</v>
      </c>
      <c r="K5" s="30" t="s">
        <v>16</v>
      </c>
      <c r="L5" s="28">
        <v>45883</v>
      </c>
      <c r="M5" s="27">
        <v>1.1200000000000001</v>
      </c>
      <c r="N5" s="27">
        <v>41.3</v>
      </c>
      <c r="O5" s="49">
        <v>-0.95</v>
      </c>
      <c r="P5" s="30" t="s">
        <v>16</v>
      </c>
      <c r="Q5" s="28">
        <v>45889</v>
      </c>
      <c r="R5" s="27">
        <v>1.18</v>
      </c>
      <c r="S5" s="27">
        <v>42.9</v>
      </c>
      <c r="T5" s="49">
        <v>-0.96</v>
      </c>
      <c r="U5" s="30" t="s">
        <v>16</v>
      </c>
      <c r="V5" s="28">
        <v>45897</v>
      </c>
      <c r="W5" s="27">
        <v>1.1200000000000001</v>
      </c>
      <c r="X5" s="27">
        <v>42.9</v>
      </c>
      <c r="Y5" s="49">
        <v>-1.08</v>
      </c>
      <c r="Z5" s="30" t="s">
        <v>16</v>
      </c>
      <c r="AA5" s="28">
        <v>45904</v>
      </c>
      <c r="AB5" s="27">
        <v>1.18</v>
      </c>
      <c r="AC5" s="27">
        <v>37.200000000000003</v>
      </c>
      <c r="AD5" s="49">
        <v>-0.95</v>
      </c>
      <c r="AE5" s="30" t="s">
        <v>16</v>
      </c>
      <c r="AF5" s="28">
        <v>45918</v>
      </c>
      <c r="AG5" s="27">
        <v>1.1299999999999999</v>
      </c>
      <c r="AH5" s="27">
        <v>41.9</v>
      </c>
      <c r="AI5" s="49">
        <v>-1.07</v>
      </c>
      <c r="AJ5" s="30" t="s">
        <v>16</v>
      </c>
      <c r="AK5" s="28">
        <v>45925</v>
      </c>
      <c r="AL5" s="27">
        <v>1.19</v>
      </c>
      <c r="AM5" s="27">
        <v>40.299999999999997</v>
      </c>
      <c r="AN5" s="49">
        <v>-0.95</v>
      </c>
      <c r="AO5" s="30" t="s">
        <v>16</v>
      </c>
      <c r="AP5" s="28">
        <v>45932</v>
      </c>
      <c r="AQ5" s="27">
        <v>1.1499999999999999</v>
      </c>
      <c r="AR5" s="27">
        <v>42.3</v>
      </c>
      <c r="AS5" s="49">
        <v>-1.1000000000000001</v>
      </c>
      <c r="AT5" s="30" t="s">
        <v>16</v>
      </c>
      <c r="AU5" s="28">
        <v>45939</v>
      </c>
      <c r="AV5" s="27">
        <v>1.1299999999999999</v>
      </c>
      <c r="AW5" s="27">
        <v>43.4</v>
      </c>
      <c r="AX5" s="49">
        <v>-1.1299999999999999</v>
      </c>
      <c r="AY5" s="30" t="s">
        <v>16</v>
      </c>
      <c r="AZ5" s="28">
        <v>45946</v>
      </c>
      <c r="BA5" s="27">
        <v>1.1200000000000001</v>
      </c>
      <c r="BB5" s="27">
        <v>45.1</v>
      </c>
      <c r="BC5" s="49">
        <v>-1.1200000000000001</v>
      </c>
      <c r="BD5" s="30" t="s">
        <v>16</v>
      </c>
      <c r="BE5" s="28">
        <v>45953</v>
      </c>
      <c r="BF5" s="27">
        <v>1.05</v>
      </c>
      <c r="BG5" s="27">
        <v>42.5</v>
      </c>
      <c r="BH5" s="49">
        <v>-1.1599999999999999</v>
      </c>
      <c r="BI5" s="121" t="s">
        <v>16</v>
      </c>
      <c r="BJ5" s="117">
        <v>45960</v>
      </c>
      <c r="BK5" s="116">
        <v>1.1299999999999999</v>
      </c>
      <c r="BL5" s="116">
        <v>41.8</v>
      </c>
      <c r="BM5" s="133">
        <v>-1.1399999999999999</v>
      </c>
      <c r="BN5" s="141" t="s">
        <v>16</v>
      </c>
      <c r="BO5" s="135">
        <v>45967</v>
      </c>
      <c r="BP5" s="136">
        <v>1.07</v>
      </c>
      <c r="BQ5" s="136">
        <v>39.9</v>
      </c>
      <c r="BR5" s="151">
        <v>-1.1000000000000001</v>
      </c>
      <c r="BS5" s="141" t="s">
        <v>16</v>
      </c>
      <c r="BT5" s="135">
        <v>45974</v>
      </c>
      <c r="BU5" s="136">
        <v>1.03</v>
      </c>
      <c r="BV5" s="136">
        <v>40.700000000000003</v>
      </c>
      <c r="BW5" s="151">
        <v>-0.88</v>
      </c>
      <c r="BX5" s="141" t="s">
        <v>16</v>
      </c>
      <c r="BY5" s="135">
        <v>45981</v>
      </c>
      <c r="BZ5" s="136">
        <v>1.17</v>
      </c>
      <c r="CA5" s="136">
        <v>38.200000000000003</v>
      </c>
      <c r="CB5" s="142">
        <v>-0.85</v>
      </c>
      <c r="CC5" s="17"/>
      <c r="CF5" s="19"/>
      <c r="CG5" s="18"/>
      <c r="CH5" s="17"/>
      <c r="CK5" s="19"/>
      <c r="CL5" s="18"/>
      <c r="CM5" s="17"/>
      <c r="CP5" s="19"/>
      <c r="CQ5" s="18"/>
      <c r="CR5" s="17"/>
      <c r="CU5" s="19"/>
      <c r="CV5" s="18"/>
      <c r="CZ5" s="19"/>
      <c r="DA5" s="8"/>
      <c r="DB5" s="79" t="s">
        <v>16</v>
      </c>
      <c r="DC5" s="64">
        <f t="shared" si="4"/>
        <v>1.1231249999999999</v>
      </c>
      <c r="DD5" s="25">
        <f t="shared" si="5"/>
        <v>41.84375</v>
      </c>
      <c r="DE5" s="63">
        <f t="shared" si="6"/>
        <v>-1.0650000000000002</v>
      </c>
      <c r="DF5" s="64">
        <f t="shared" si="7"/>
        <v>4.1736227045075125E-2</v>
      </c>
      <c r="DG5" s="25">
        <f t="shared" si="8"/>
        <v>-8.7079910380881184E-2</v>
      </c>
      <c r="DH5" s="63">
        <f t="shared" si="9"/>
        <v>-0.20187793427230061</v>
      </c>
      <c r="DI5" s="64">
        <f t="shared" si="10"/>
        <v>0.13592233009708729</v>
      </c>
      <c r="DJ5" s="25">
        <f t="shared" si="11"/>
        <v>-6.142506142506142E-2</v>
      </c>
      <c r="DK5" s="63">
        <f t="shared" si="12"/>
        <v>-3.4090909090909123E-2</v>
      </c>
      <c r="DL5" s="64">
        <f t="shared" si="13"/>
        <v>0.11428571428571417</v>
      </c>
      <c r="DM5" s="25">
        <f t="shared" si="14"/>
        <v>-0.10747663551401856</v>
      </c>
      <c r="DN5" s="63">
        <f t="shared" si="15"/>
        <v>-0.37500000000000006</v>
      </c>
    </row>
    <row r="6" spans="1:118" x14ac:dyDescent="0.2">
      <c r="A6" s="30" t="s">
        <v>17</v>
      </c>
      <c r="B6" s="28">
        <v>45861</v>
      </c>
      <c r="C6" s="27">
        <v>0.66</v>
      </c>
      <c r="D6" s="27">
        <v>39.700000000000003</v>
      </c>
      <c r="E6" s="49">
        <v>-1.81</v>
      </c>
      <c r="F6" s="35" t="s">
        <v>17</v>
      </c>
      <c r="G6" s="28">
        <v>45870</v>
      </c>
      <c r="H6" s="27">
        <v>0.69</v>
      </c>
      <c r="I6" s="27">
        <v>41.1</v>
      </c>
      <c r="J6" s="49">
        <v>-1.6</v>
      </c>
      <c r="K6" s="30" t="s">
        <v>17</v>
      </c>
      <c r="L6" s="28">
        <v>45883</v>
      </c>
      <c r="M6" s="27">
        <v>0.64</v>
      </c>
      <c r="N6" s="27">
        <v>35.700000000000003</v>
      </c>
      <c r="O6" s="49">
        <v>-1.37</v>
      </c>
      <c r="P6" s="30" t="s">
        <v>17</v>
      </c>
      <c r="Q6" s="28">
        <v>45889</v>
      </c>
      <c r="R6" s="27">
        <v>0.67</v>
      </c>
      <c r="S6" s="27">
        <v>31.1</v>
      </c>
      <c r="T6" s="49">
        <v>-1.64</v>
      </c>
      <c r="U6" s="30" t="s">
        <v>17</v>
      </c>
      <c r="V6" s="28">
        <v>45897</v>
      </c>
      <c r="W6" s="27">
        <v>0.56999999999999995</v>
      </c>
      <c r="X6" s="27">
        <v>32.5</v>
      </c>
      <c r="Y6" s="49">
        <v>-1.55</v>
      </c>
      <c r="Z6" s="30" t="s">
        <v>17</v>
      </c>
      <c r="AA6" s="28">
        <v>45904</v>
      </c>
      <c r="AB6" s="27">
        <v>0.78</v>
      </c>
      <c r="AC6" s="27">
        <v>28.9</v>
      </c>
      <c r="AD6" s="49">
        <v>-1.19</v>
      </c>
      <c r="AE6" s="30"/>
      <c r="AF6" s="28"/>
      <c r="AG6" s="27"/>
      <c r="AH6" s="27"/>
      <c r="AI6" s="49"/>
      <c r="AJ6" s="30" t="s">
        <v>17</v>
      </c>
      <c r="AK6" s="28">
        <v>45925</v>
      </c>
      <c r="AL6" s="27">
        <v>0.72</v>
      </c>
      <c r="AM6" s="27">
        <v>36.5</v>
      </c>
      <c r="AN6" s="49">
        <v>-1.43</v>
      </c>
      <c r="AO6" s="30" t="s">
        <v>17</v>
      </c>
      <c r="AP6" s="28">
        <v>45932</v>
      </c>
      <c r="AQ6" s="27">
        <v>0.71</v>
      </c>
      <c r="AR6" s="27">
        <v>36.6</v>
      </c>
      <c r="AS6" s="49">
        <v>-1.65</v>
      </c>
      <c r="AT6" s="30" t="s">
        <v>17</v>
      </c>
      <c r="AU6" s="28">
        <v>45939</v>
      </c>
      <c r="AV6" s="27">
        <v>0.78</v>
      </c>
      <c r="AW6" s="27">
        <v>32.6</v>
      </c>
      <c r="AX6" s="49">
        <v>-1.25</v>
      </c>
      <c r="AY6" s="30" t="s">
        <v>17</v>
      </c>
      <c r="AZ6" s="28">
        <v>45946</v>
      </c>
      <c r="BA6" s="27">
        <v>0.74</v>
      </c>
      <c r="BB6" s="27">
        <v>37.5</v>
      </c>
      <c r="BC6" s="49">
        <v>-1.47</v>
      </c>
      <c r="BD6" s="30" t="s">
        <v>17</v>
      </c>
      <c r="BE6" s="28">
        <v>45953</v>
      </c>
      <c r="BF6" s="27">
        <v>0.76</v>
      </c>
      <c r="BG6" s="27">
        <v>35.1</v>
      </c>
      <c r="BH6" s="49">
        <v>-1.42</v>
      </c>
      <c r="BI6" s="121" t="s">
        <v>17</v>
      </c>
      <c r="BJ6" s="117">
        <v>45960</v>
      </c>
      <c r="BK6" s="116">
        <v>0.72</v>
      </c>
      <c r="BL6" s="116">
        <v>36.1</v>
      </c>
      <c r="BM6" s="133">
        <v>-1.27</v>
      </c>
      <c r="BN6" s="141" t="s">
        <v>17</v>
      </c>
      <c r="BO6" s="135">
        <v>45967</v>
      </c>
      <c r="BP6" s="136">
        <v>0.72</v>
      </c>
      <c r="BQ6" s="136">
        <v>33.4</v>
      </c>
      <c r="BR6" s="151">
        <v>-1.36</v>
      </c>
      <c r="BS6" s="141" t="s">
        <v>17</v>
      </c>
      <c r="BT6" s="135">
        <v>45974</v>
      </c>
      <c r="BU6" s="136">
        <v>0.65</v>
      </c>
      <c r="BV6" s="136">
        <v>36.9</v>
      </c>
      <c r="BW6" s="151">
        <v>-1.36</v>
      </c>
      <c r="BX6" s="141" t="s">
        <v>17</v>
      </c>
      <c r="BY6" s="135">
        <v>45981</v>
      </c>
      <c r="BZ6" s="136">
        <v>0.73</v>
      </c>
      <c r="CA6" s="136">
        <v>35.1</v>
      </c>
      <c r="CB6" s="142">
        <v>-1.51</v>
      </c>
      <c r="CC6" s="17"/>
      <c r="CF6" s="19"/>
      <c r="CG6" s="18"/>
      <c r="CH6" s="17"/>
      <c r="CK6" s="19"/>
      <c r="CL6" s="18"/>
      <c r="CM6" s="17"/>
      <c r="CP6" s="19"/>
      <c r="CQ6" s="18"/>
      <c r="CR6" s="17"/>
      <c r="CU6" s="19"/>
      <c r="CV6" s="18"/>
      <c r="CZ6" s="19"/>
      <c r="DA6" s="8"/>
      <c r="DB6" s="79" t="s">
        <v>17</v>
      </c>
      <c r="DC6" s="64">
        <f t="shared" si="4"/>
        <v>0.70266666666666677</v>
      </c>
      <c r="DD6" s="25">
        <f t="shared" si="5"/>
        <v>35.253333333333337</v>
      </c>
      <c r="DE6" s="63">
        <f t="shared" si="6"/>
        <v>-1.4586666666666668</v>
      </c>
      <c r="DF6" s="64">
        <f t="shared" si="7"/>
        <v>3.8899430740037766E-2</v>
      </c>
      <c r="DG6" s="25">
        <f t="shared" si="8"/>
        <v>-4.3494704992436449E-3</v>
      </c>
      <c r="DH6" s="63">
        <f t="shared" si="9"/>
        <v>3.5191956124314368E-2</v>
      </c>
      <c r="DI6" s="64">
        <f t="shared" si="10"/>
        <v>0.12307692307692301</v>
      </c>
      <c r="DJ6" s="25">
        <f t="shared" si="11"/>
        <v>-4.8780487804877974E-2</v>
      </c>
      <c r="DK6" s="63">
        <f t="shared" si="12"/>
        <v>0.11029411764705875</v>
      </c>
      <c r="DL6" s="64">
        <f t="shared" si="13"/>
        <v>0.10606060606060598</v>
      </c>
      <c r="DM6" s="25">
        <f t="shared" si="14"/>
        <v>-0.11586901763224185</v>
      </c>
      <c r="DN6" s="63">
        <f t="shared" si="15"/>
        <v>-0.16574585635359118</v>
      </c>
    </row>
    <row r="7" spans="1:118" x14ac:dyDescent="0.2">
      <c r="A7" s="30" t="s">
        <v>76</v>
      </c>
      <c r="B7" s="28">
        <v>45861</v>
      </c>
      <c r="C7" s="27">
        <v>0.56000000000000005</v>
      </c>
      <c r="D7" s="27">
        <v>37.299999999999997</v>
      </c>
      <c r="E7" s="31">
        <v>-1.36</v>
      </c>
      <c r="F7" s="35"/>
      <c r="G7" s="28"/>
      <c r="H7" s="27"/>
      <c r="I7" s="27"/>
      <c r="J7" s="49"/>
      <c r="K7" s="30"/>
      <c r="L7" s="28"/>
      <c r="M7" s="27"/>
      <c r="N7" s="27"/>
      <c r="O7" s="49"/>
      <c r="P7" s="30"/>
      <c r="Q7" s="28"/>
      <c r="R7" s="27"/>
      <c r="S7" s="27"/>
      <c r="T7" s="49"/>
      <c r="U7" s="30"/>
      <c r="V7" s="28"/>
      <c r="W7" s="27"/>
      <c r="X7" s="27"/>
      <c r="Y7" s="49"/>
      <c r="Z7" s="30" t="s">
        <v>76</v>
      </c>
      <c r="AA7" s="28">
        <v>45904</v>
      </c>
      <c r="AB7" s="27">
        <v>0.59</v>
      </c>
      <c r="AC7" s="27">
        <v>37.6</v>
      </c>
      <c r="AD7" s="31">
        <v>-1.36</v>
      </c>
      <c r="AE7" s="30" t="s">
        <v>76</v>
      </c>
      <c r="AF7" s="28">
        <v>45918</v>
      </c>
      <c r="AG7" s="27">
        <v>0.56000000000000005</v>
      </c>
      <c r="AH7" s="27">
        <v>36</v>
      </c>
      <c r="AI7" s="31">
        <v>-1.4</v>
      </c>
      <c r="AJ7" s="30" t="s">
        <v>76</v>
      </c>
      <c r="AK7" s="28">
        <v>45925</v>
      </c>
      <c r="AL7" s="27">
        <v>0.53</v>
      </c>
      <c r="AM7" s="27">
        <v>36.9</v>
      </c>
      <c r="AN7" s="31">
        <v>-1.34</v>
      </c>
      <c r="AO7" s="30" t="s">
        <v>76</v>
      </c>
      <c r="AP7" s="28">
        <v>45932</v>
      </c>
      <c r="AQ7" s="27">
        <v>0.61</v>
      </c>
      <c r="AR7" s="27">
        <v>36.200000000000003</v>
      </c>
      <c r="AS7" s="49">
        <v>-1.1399999999999999</v>
      </c>
      <c r="AT7" s="30" t="s">
        <v>76</v>
      </c>
      <c r="AU7" s="28">
        <v>45939</v>
      </c>
      <c r="AV7" s="27">
        <v>0.6</v>
      </c>
      <c r="AW7" s="27">
        <v>37</v>
      </c>
      <c r="AX7" s="49">
        <v>-1.32</v>
      </c>
      <c r="AY7" s="30" t="s">
        <v>76</v>
      </c>
      <c r="AZ7" s="28">
        <v>45946</v>
      </c>
      <c r="BA7" s="27">
        <v>0.62</v>
      </c>
      <c r="BB7" s="27">
        <v>38.200000000000003</v>
      </c>
      <c r="BC7" s="49">
        <v>-1.39</v>
      </c>
      <c r="BD7" s="30" t="s">
        <v>76</v>
      </c>
      <c r="BE7" s="28">
        <v>45953</v>
      </c>
      <c r="BF7" s="27">
        <v>0.59</v>
      </c>
      <c r="BG7" s="27">
        <v>38.299999999999997</v>
      </c>
      <c r="BH7" s="49">
        <v>-1.38</v>
      </c>
      <c r="BI7" s="121" t="s">
        <v>76</v>
      </c>
      <c r="BJ7" s="117">
        <v>45960</v>
      </c>
      <c r="BK7" s="116">
        <v>0.63</v>
      </c>
      <c r="BL7" s="116">
        <v>36.9</v>
      </c>
      <c r="BM7" s="133">
        <v>-1.33</v>
      </c>
      <c r="BN7" s="141" t="s">
        <v>76</v>
      </c>
      <c r="BO7" s="135">
        <v>45967</v>
      </c>
      <c r="BP7" s="136">
        <v>0.61</v>
      </c>
      <c r="BQ7" s="136">
        <v>38.799999999999997</v>
      </c>
      <c r="BR7" s="151">
        <v>-1.39</v>
      </c>
      <c r="BS7" s="141" t="s">
        <v>76</v>
      </c>
      <c r="BT7" s="135">
        <v>45974</v>
      </c>
      <c r="BU7" s="136">
        <v>0.55000000000000004</v>
      </c>
      <c r="BV7" s="136">
        <v>35.700000000000003</v>
      </c>
      <c r="BW7" s="151">
        <v>-1.3</v>
      </c>
      <c r="BX7" s="30"/>
      <c r="BY7" s="27"/>
      <c r="BZ7" s="27"/>
      <c r="CA7" s="27"/>
      <c r="CB7" s="31"/>
      <c r="CC7" s="17"/>
      <c r="CF7" s="19"/>
      <c r="CG7" s="18"/>
      <c r="CH7" s="17"/>
      <c r="CK7" s="19"/>
      <c r="CL7" s="18"/>
      <c r="CM7" s="17"/>
      <c r="CP7" s="19"/>
      <c r="CQ7" s="18"/>
      <c r="CR7" s="17"/>
      <c r="CU7" s="19"/>
      <c r="CV7" s="18"/>
      <c r="CW7" s="17"/>
      <c r="CZ7" s="19"/>
      <c r="DA7" s="8"/>
      <c r="DB7" s="79" t="s">
        <v>76</v>
      </c>
      <c r="DC7" s="64">
        <f t="shared" si="4"/>
        <v>0.58636363636363642</v>
      </c>
      <c r="DD7" s="25">
        <f t="shared" si="5"/>
        <v>37.172727272727272</v>
      </c>
      <c r="DE7" s="63">
        <f t="shared" si="6"/>
        <v>-1.3372727272727276</v>
      </c>
      <c r="DF7" s="64"/>
      <c r="DG7" s="25"/>
      <c r="DH7" s="63"/>
      <c r="DI7" s="64"/>
      <c r="DJ7" s="25"/>
      <c r="DK7" s="63"/>
      <c r="DL7" s="64"/>
      <c r="DM7" s="25"/>
      <c r="DN7" s="63"/>
    </row>
    <row r="8" spans="1:118" x14ac:dyDescent="0.2">
      <c r="A8" s="30" t="s">
        <v>18</v>
      </c>
      <c r="B8" s="28">
        <v>45861</v>
      </c>
      <c r="C8" s="27">
        <v>0.54</v>
      </c>
      <c r="D8" s="27">
        <v>33.1</v>
      </c>
      <c r="E8" s="49">
        <v>-1.27</v>
      </c>
      <c r="F8" s="35" t="s">
        <v>18</v>
      </c>
      <c r="G8" s="28">
        <v>45870</v>
      </c>
      <c r="H8" s="27">
        <v>0.54</v>
      </c>
      <c r="I8" s="27">
        <v>32.799999999999997</v>
      </c>
      <c r="J8" s="49">
        <v>-1.22</v>
      </c>
      <c r="K8" s="30" t="s">
        <v>18</v>
      </c>
      <c r="L8" s="28">
        <v>45883</v>
      </c>
      <c r="M8" s="27">
        <v>0.42</v>
      </c>
      <c r="N8" s="27">
        <v>28</v>
      </c>
      <c r="O8" s="49">
        <v>-1.18</v>
      </c>
      <c r="P8" s="30" t="s">
        <v>18</v>
      </c>
      <c r="Q8" s="28">
        <v>45889</v>
      </c>
      <c r="R8" s="27">
        <v>0.49</v>
      </c>
      <c r="S8" s="27">
        <v>32.1</v>
      </c>
      <c r="T8" s="49">
        <v>-1.1299999999999999</v>
      </c>
      <c r="U8" s="30" t="s">
        <v>18</v>
      </c>
      <c r="V8" s="28">
        <v>45897</v>
      </c>
      <c r="W8" s="27">
        <v>0.57999999999999996</v>
      </c>
      <c r="X8" s="27">
        <v>31.7</v>
      </c>
      <c r="Y8" s="49">
        <v>-1.32</v>
      </c>
      <c r="Z8" s="30" t="s">
        <v>18</v>
      </c>
      <c r="AA8" s="28">
        <v>45904</v>
      </c>
      <c r="AB8" s="27">
        <v>0.56999999999999995</v>
      </c>
      <c r="AC8" s="27">
        <v>31</v>
      </c>
      <c r="AD8" s="49">
        <v>-1.33</v>
      </c>
      <c r="AE8" s="30" t="s">
        <v>18</v>
      </c>
      <c r="AF8" s="28">
        <v>45918</v>
      </c>
      <c r="AG8" s="27">
        <v>0.51</v>
      </c>
      <c r="AH8" s="27">
        <v>31</v>
      </c>
      <c r="AI8" s="49">
        <v>-1.17</v>
      </c>
      <c r="AJ8" s="30" t="s">
        <v>18</v>
      </c>
      <c r="AK8" s="28">
        <v>45925</v>
      </c>
      <c r="AL8" s="27">
        <v>0.48</v>
      </c>
      <c r="AM8" s="27">
        <v>28.5</v>
      </c>
      <c r="AN8" s="49">
        <v>-1.17</v>
      </c>
      <c r="AO8" s="30" t="s">
        <v>18</v>
      </c>
      <c r="AP8" s="28">
        <v>45932</v>
      </c>
      <c r="AQ8" s="27">
        <v>0.54</v>
      </c>
      <c r="AR8" s="27">
        <v>30</v>
      </c>
      <c r="AS8" s="49">
        <v>-1.39</v>
      </c>
      <c r="AT8" s="30" t="s">
        <v>18</v>
      </c>
      <c r="AU8" s="28">
        <v>45939</v>
      </c>
      <c r="AV8" s="27">
        <v>0.49</v>
      </c>
      <c r="AW8" s="27">
        <v>28.1</v>
      </c>
      <c r="AX8" s="49">
        <v>-1.28</v>
      </c>
      <c r="AY8" s="30" t="s">
        <v>18</v>
      </c>
      <c r="AZ8" s="28">
        <v>45946</v>
      </c>
      <c r="BA8" s="27">
        <v>0.51</v>
      </c>
      <c r="BB8" s="27">
        <v>28.6</v>
      </c>
      <c r="BC8" s="49">
        <v>-1.26</v>
      </c>
      <c r="BD8" s="30" t="s">
        <v>18</v>
      </c>
      <c r="BE8" s="28">
        <v>45953</v>
      </c>
      <c r="BF8" s="27">
        <v>0.52</v>
      </c>
      <c r="BG8" s="27">
        <v>28.6</v>
      </c>
      <c r="BH8" s="49">
        <v>-1.29</v>
      </c>
      <c r="BI8" s="121" t="s">
        <v>18</v>
      </c>
      <c r="BJ8" s="117">
        <v>45960</v>
      </c>
      <c r="BK8" s="116">
        <v>0.5</v>
      </c>
      <c r="BL8" s="116">
        <v>29.1</v>
      </c>
      <c r="BM8" s="133">
        <v>-1.37</v>
      </c>
      <c r="BN8" s="141" t="s">
        <v>18</v>
      </c>
      <c r="BO8" s="135">
        <v>45967</v>
      </c>
      <c r="BP8" s="136">
        <v>0.56000000000000005</v>
      </c>
      <c r="BQ8" s="136">
        <v>31</v>
      </c>
      <c r="BR8" s="151">
        <v>-1.3</v>
      </c>
      <c r="BS8" s="141" t="s">
        <v>18</v>
      </c>
      <c r="BT8" s="135">
        <v>45974</v>
      </c>
      <c r="BU8" s="136">
        <v>0.52</v>
      </c>
      <c r="BV8" s="136">
        <v>30.8</v>
      </c>
      <c r="BW8" s="151">
        <v>-1.37</v>
      </c>
      <c r="BX8" s="141" t="s">
        <v>18</v>
      </c>
      <c r="BY8" s="135">
        <v>45981</v>
      </c>
      <c r="BZ8" s="136">
        <v>0.46</v>
      </c>
      <c r="CA8" s="136">
        <v>25.2</v>
      </c>
      <c r="CB8" s="142">
        <v>-1.27</v>
      </c>
      <c r="CC8" s="17"/>
      <c r="CF8" s="19"/>
      <c r="CG8" s="18"/>
      <c r="CH8" s="17"/>
      <c r="CK8" s="19"/>
      <c r="CL8" s="18"/>
      <c r="CM8" s="17"/>
      <c r="CP8" s="19"/>
      <c r="CQ8" s="18"/>
      <c r="CR8" s="17"/>
      <c r="CU8" s="19"/>
      <c r="CV8" s="18"/>
      <c r="CW8" s="17"/>
      <c r="CZ8" s="19"/>
      <c r="DA8" s="8"/>
      <c r="DB8" s="79" t="s">
        <v>18</v>
      </c>
      <c r="DC8" s="64">
        <f t="shared" si="4"/>
        <v>0.51437500000000003</v>
      </c>
      <c r="DD8" s="25">
        <f t="shared" si="5"/>
        <v>29.975000000000005</v>
      </c>
      <c r="DE8" s="63">
        <f t="shared" si="6"/>
        <v>-1.2700000000000002</v>
      </c>
      <c r="DF8" s="64">
        <f t="shared" si="7"/>
        <v>-0.10571081409477522</v>
      </c>
      <c r="DG8" s="25">
        <f t="shared" si="8"/>
        <v>-0.15929941618015028</v>
      </c>
      <c r="DH8" s="63">
        <f t="shared" si="9"/>
        <v>-1.748382715945128E-16</v>
      </c>
      <c r="DI8" s="64">
        <f t="shared" si="10"/>
        <v>-0.11538461538461538</v>
      </c>
      <c r="DJ8" s="25">
        <f t="shared" si="11"/>
        <v>-0.18181818181818185</v>
      </c>
      <c r="DK8" s="63">
        <f t="shared" si="12"/>
        <v>-7.2992700729927071E-2</v>
      </c>
      <c r="DL8" s="64">
        <f t="shared" si="13"/>
        <v>-0.14814814814814817</v>
      </c>
      <c r="DM8" s="25">
        <f t="shared" si="14"/>
        <v>-0.2386706948640484</v>
      </c>
      <c r="DN8" s="63">
        <f t="shared" si="15"/>
        <v>0</v>
      </c>
    </row>
    <row r="9" spans="1:118" x14ac:dyDescent="0.2">
      <c r="A9" s="30" t="s">
        <v>19</v>
      </c>
      <c r="B9" s="28">
        <v>45861</v>
      </c>
      <c r="C9" s="27">
        <v>0.66</v>
      </c>
      <c r="D9" s="27">
        <v>44</v>
      </c>
      <c r="E9" s="49">
        <v>-1.41</v>
      </c>
      <c r="F9" s="35" t="s">
        <v>19</v>
      </c>
      <c r="G9" s="28">
        <v>45870</v>
      </c>
      <c r="H9" s="27">
        <v>0.59</v>
      </c>
      <c r="I9" s="27">
        <v>40.799999999999997</v>
      </c>
      <c r="J9" s="49">
        <v>-1.4</v>
      </c>
      <c r="K9" s="30" t="s">
        <v>19</v>
      </c>
      <c r="L9" s="28">
        <v>45883</v>
      </c>
      <c r="M9" s="27">
        <v>0.64</v>
      </c>
      <c r="N9" s="27">
        <v>43.7</v>
      </c>
      <c r="O9" s="49">
        <v>-1.58</v>
      </c>
      <c r="P9" s="30" t="s">
        <v>19</v>
      </c>
      <c r="Q9" s="28">
        <v>45889</v>
      </c>
      <c r="R9" s="27">
        <v>0.76</v>
      </c>
      <c r="S9" s="27">
        <v>41.4</v>
      </c>
      <c r="T9" s="49">
        <v>-1.38</v>
      </c>
      <c r="U9" s="30" t="s">
        <v>19</v>
      </c>
      <c r="V9" s="28">
        <v>45897</v>
      </c>
      <c r="W9" s="27">
        <v>0.74</v>
      </c>
      <c r="X9" s="27">
        <v>42.4</v>
      </c>
      <c r="Y9" s="49">
        <v>-1.33</v>
      </c>
      <c r="Z9" s="30" t="s">
        <v>19</v>
      </c>
      <c r="AA9" s="28">
        <v>45904</v>
      </c>
      <c r="AB9" s="27">
        <v>0.81</v>
      </c>
      <c r="AC9" s="27">
        <v>40.4</v>
      </c>
      <c r="AD9" s="49">
        <v>-1.28</v>
      </c>
      <c r="AE9" s="30" t="s">
        <v>19</v>
      </c>
      <c r="AF9" s="28">
        <v>45918</v>
      </c>
      <c r="AG9" s="27">
        <v>0.79</v>
      </c>
      <c r="AH9" s="27">
        <v>38.299999999999997</v>
      </c>
      <c r="AI9" s="49">
        <v>-1.21</v>
      </c>
      <c r="AJ9" s="30" t="s">
        <v>19</v>
      </c>
      <c r="AK9" s="28">
        <v>45925</v>
      </c>
      <c r="AL9" s="27">
        <v>0.81</v>
      </c>
      <c r="AM9" s="27">
        <v>36.5</v>
      </c>
      <c r="AN9" s="49">
        <v>-1.1599999999999999</v>
      </c>
      <c r="AO9" s="30" t="s">
        <v>19</v>
      </c>
      <c r="AP9" s="28">
        <v>45932</v>
      </c>
      <c r="AQ9" s="27">
        <v>0.76</v>
      </c>
      <c r="AR9" s="27">
        <v>36.700000000000003</v>
      </c>
      <c r="AS9" s="49">
        <v>-1.1299999999999999</v>
      </c>
      <c r="AT9" s="30" t="s">
        <v>19</v>
      </c>
      <c r="AU9" s="28">
        <v>45939</v>
      </c>
      <c r="AV9" s="27">
        <v>0.86</v>
      </c>
      <c r="AW9" s="27">
        <v>39.1</v>
      </c>
      <c r="AX9" s="49">
        <v>-1.31</v>
      </c>
      <c r="AY9" s="30" t="s">
        <v>19</v>
      </c>
      <c r="AZ9" s="28">
        <v>45946</v>
      </c>
      <c r="BA9" s="27">
        <v>0.9</v>
      </c>
      <c r="BB9" s="27">
        <v>39.4</v>
      </c>
      <c r="BC9" s="49">
        <v>-1.52</v>
      </c>
      <c r="BD9" s="30" t="s">
        <v>19</v>
      </c>
      <c r="BE9" s="28">
        <v>45953</v>
      </c>
      <c r="BF9" s="27">
        <v>0.78</v>
      </c>
      <c r="BG9" s="27">
        <v>38</v>
      </c>
      <c r="BH9" s="49">
        <v>-1.39</v>
      </c>
      <c r="BI9" s="121" t="s">
        <v>19</v>
      </c>
      <c r="BJ9" s="117">
        <v>45960</v>
      </c>
      <c r="BK9" s="116">
        <v>0.84</v>
      </c>
      <c r="BL9" s="116">
        <v>40</v>
      </c>
      <c r="BM9" s="133">
        <v>-1.44</v>
      </c>
      <c r="BN9" s="141" t="s">
        <v>19</v>
      </c>
      <c r="BO9" s="135">
        <v>45967</v>
      </c>
      <c r="BP9" s="136">
        <v>0.91</v>
      </c>
      <c r="BQ9" s="136">
        <v>41.7</v>
      </c>
      <c r="BR9" s="151">
        <v>-1.33</v>
      </c>
      <c r="BS9" s="141" t="s">
        <v>19</v>
      </c>
      <c r="BT9" s="135">
        <v>45974</v>
      </c>
      <c r="BU9" s="136">
        <v>0.88</v>
      </c>
      <c r="BV9" s="136">
        <v>40.1</v>
      </c>
      <c r="BW9" s="151">
        <v>-1.27</v>
      </c>
      <c r="BX9" s="141" t="s">
        <v>19</v>
      </c>
      <c r="BY9" s="135">
        <v>45981</v>
      </c>
      <c r="BZ9" s="136">
        <v>0.88</v>
      </c>
      <c r="CA9" s="136">
        <v>40</v>
      </c>
      <c r="CB9" s="142">
        <v>-1.26</v>
      </c>
      <c r="CC9" s="17"/>
      <c r="CF9" s="19"/>
      <c r="CG9" s="18"/>
      <c r="CH9" s="17"/>
      <c r="CK9" s="19"/>
      <c r="CL9" s="18"/>
      <c r="CP9" s="19"/>
      <c r="CQ9" s="18"/>
      <c r="CR9" s="17"/>
      <c r="CU9" s="19"/>
      <c r="CV9" s="18"/>
      <c r="CZ9" s="19"/>
      <c r="DA9" s="8"/>
      <c r="DB9" s="79" t="s">
        <v>19</v>
      </c>
      <c r="DC9" s="64">
        <f t="shared" si="4"/>
        <v>0.78812500000000008</v>
      </c>
      <c r="DD9" s="25">
        <f t="shared" si="5"/>
        <v>40.156250000000007</v>
      </c>
      <c r="DE9" s="63">
        <f t="shared" si="6"/>
        <v>-1.3374999999999999</v>
      </c>
      <c r="DF9" s="64">
        <f t="shared" si="7"/>
        <v>0.11657414750198246</v>
      </c>
      <c r="DG9" s="25">
        <f t="shared" si="8"/>
        <v>-3.8910505836577637E-3</v>
      </c>
      <c r="DH9" s="63">
        <f t="shared" si="9"/>
        <v>-5.7943925233644791E-2</v>
      </c>
      <c r="DI9" s="64">
        <f t="shared" si="10"/>
        <v>0</v>
      </c>
      <c r="DJ9" s="25">
        <f t="shared" si="11"/>
        <v>-2.4937655860349482E-3</v>
      </c>
      <c r="DK9" s="63">
        <f t="shared" si="12"/>
        <v>-7.8740157480315029E-3</v>
      </c>
      <c r="DL9" s="64">
        <f t="shared" si="13"/>
        <v>0.33333333333333326</v>
      </c>
      <c r="DM9" s="25">
        <f t="shared" si="14"/>
        <v>-9.0909090909090912E-2</v>
      </c>
      <c r="DN9" s="63">
        <f t="shared" si="15"/>
        <v>-0.1063829787234042</v>
      </c>
    </row>
    <row r="10" spans="1:118" x14ac:dyDescent="0.2">
      <c r="A10" s="30" t="s">
        <v>77</v>
      </c>
      <c r="B10" s="28">
        <v>45861</v>
      </c>
      <c r="C10" s="27">
        <v>0.79</v>
      </c>
      <c r="D10" s="27">
        <v>40.299999999999997</v>
      </c>
      <c r="E10" s="49">
        <v>-1.45</v>
      </c>
      <c r="F10" s="35" t="s">
        <v>77</v>
      </c>
      <c r="G10" s="28">
        <v>45870</v>
      </c>
      <c r="H10" s="27">
        <v>0.64</v>
      </c>
      <c r="I10" s="27">
        <v>33.6</v>
      </c>
      <c r="J10" s="49">
        <v>-1.1399999999999999</v>
      </c>
      <c r="K10" s="30" t="s">
        <v>77</v>
      </c>
      <c r="L10" s="28">
        <v>45883</v>
      </c>
      <c r="M10" s="27">
        <v>0.71</v>
      </c>
      <c r="N10" s="27">
        <v>37.5</v>
      </c>
      <c r="O10" s="49">
        <v>-1.27</v>
      </c>
      <c r="P10" s="30" t="s">
        <v>77</v>
      </c>
      <c r="Q10" s="28">
        <v>45889</v>
      </c>
      <c r="R10" s="27">
        <v>0.73</v>
      </c>
      <c r="S10" s="27">
        <v>37.5</v>
      </c>
      <c r="T10" s="49">
        <v>-1.36</v>
      </c>
      <c r="U10" s="30" t="s">
        <v>77</v>
      </c>
      <c r="V10" s="28">
        <v>45897</v>
      </c>
      <c r="W10" s="27">
        <v>0.81</v>
      </c>
      <c r="X10" s="27">
        <v>39.6</v>
      </c>
      <c r="Y10" s="49">
        <v>-1.39</v>
      </c>
      <c r="Z10" s="30" t="s">
        <v>77</v>
      </c>
      <c r="AA10" s="28">
        <v>45904</v>
      </c>
      <c r="AB10" s="27">
        <v>0.77</v>
      </c>
      <c r="AC10" s="27">
        <v>39.9</v>
      </c>
      <c r="AD10" s="49">
        <v>-1.36</v>
      </c>
      <c r="AE10" s="30" t="s">
        <v>77</v>
      </c>
      <c r="AF10" s="28">
        <v>45918</v>
      </c>
      <c r="AG10" s="27">
        <v>0.75</v>
      </c>
      <c r="AH10" s="27">
        <v>41.7</v>
      </c>
      <c r="AI10" s="49">
        <v>-1.32</v>
      </c>
      <c r="AJ10" s="30" t="s">
        <v>77</v>
      </c>
      <c r="AK10" s="28">
        <v>45925</v>
      </c>
      <c r="AL10" s="27">
        <v>0.76</v>
      </c>
      <c r="AM10" s="27">
        <v>37.4</v>
      </c>
      <c r="AN10" s="49">
        <v>-1.31</v>
      </c>
      <c r="AO10" s="30" t="s">
        <v>77</v>
      </c>
      <c r="AP10" s="28">
        <v>45932</v>
      </c>
      <c r="AQ10" s="27">
        <v>0.81</v>
      </c>
      <c r="AR10" s="27">
        <v>40.799999999999997</v>
      </c>
      <c r="AS10" s="49">
        <v>-1.36</v>
      </c>
      <c r="AT10" s="30" t="s">
        <v>77</v>
      </c>
      <c r="AU10" s="28">
        <v>45939</v>
      </c>
      <c r="AV10" s="27">
        <v>0.77</v>
      </c>
      <c r="AW10" s="27">
        <v>39.5</v>
      </c>
      <c r="AX10" s="49">
        <v>-1.26</v>
      </c>
      <c r="AY10" s="30" t="s">
        <v>77</v>
      </c>
      <c r="AZ10" s="28">
        <v>45946</v>
      </c>
      <c r="BA10" s="27">
        <v>0.84</v>
      </c>
      <c r="BB10" s="27">
        <v>40.4</v>
      </c>
      <c r="BC10" s="49">
        <v>-1.33</v>
      </c>
      <c r="BD10" s="30" t="s">
        <v>77</v>
      </c>
      <c r="BE10" s="28">
        <v>45953</v>
      </c>
      <c r="BF10" s="27">
        <v>0.82</v>
      </c>
      <c r="BG10" s="27">
        <v>42.3</v>
      </c>
      <c r="BH10" s="49">
        <v>-1.38</v>
      </c>
      <c r="BI10" s="121" t="s">
        <v>77</v>
      </c>
      <c r="BJ10" s="117">
        <v>45960</v>
      </c>
      <c r="BK10" s="116">
        <v>0.85</v>
      </c>
      <c r="BL10" s="116">
        <v>40.1</v>
      </c>
      <c r="BM10" s="133">
        <v>-1.24</v>
      </c>
      <c r="BN10" s="141" t="s">
        <v>77</v>
      </c>
      <c r="BO10" s="135">
        <v>45967</v>
      </c>
      <c r="BP10" s="136">
        <v>0.83</v>
      </c>
      <c r="BQ10" s="136">
        <v>38.9</v>
      </c>
      <c r="BR10" s="151">
        <v>-1.23</v>
      </c>
      <c r="BS10" s="141" t="s">
        <v>77</v>
      </c>
      <c r="BT10" s="135">
        <v>45974</v>
      </c>
      <c r="BU10" s="136">
        <v>0.88</v>
      </c>
      <c r="BV10" s="136">
        <v>37</v>
      </c>
      <c r="BW10" s="151">
        <v>-1.1100000000000001</v>
      </c>
      <c r="BX10" s="30"/>
      <c r="BY10" s="27"/>
      <c r="BZ10" s="27"/>
      <c r="CA10" s="27"/>
      <c r="CB10" s="31"/>
      <c r="CC10" s="17"/>
      <c r="CF10" s="19"/>
      <c r="CG10" s="18"/>
      <c r="CH10" s="17"/>
      <c r="CK10" s="19"/>
      <c r="CL10" s="18"/>
      <c r="CM10" s="17"/>
      <c r="CP10" s="19"/>
      <c r="CQ10" s="18"/>
      <c r="CR10" s="17"/>
      <c r="CU10" s="19"/>
      <c r="CV10" s="18"/>
      <c r="CW10" s="17"/>
      <c r="CZ10" s="19"/>
      <c r="DA10" s="8"/>
      <c r="DB10" s="79" t="s">
        <v>77</v>
      </c>
      <c r="DC10" s="64">
        <f t="shared" si="4"/>
        <v>0.78400000000000003</v>
      </c>
      <c r="DD10" s="25">
        <f t="shared" si="5"/>
        <v>39.1</v>
      </c>
      <c r="DE10" s="63">
        <f t="shared" si="6"/>
        <v>-1.3006666666666666</v>
      </c>
      <c r="DF10" s="64"/>
      <c r="DG10" s="25"/>
      <c r="DH10" s="63"/>
      <c r="DI10" s="64"/>
      <c r="DJ10" s="25"/>
      <c r="DK10" s="63"/>
      <c r="DL10" s="64"/>
      <c r="DM10" s="25"/>
      <c r="DN10" s="63"/>
    </row>
    <row r="11" spans="1:118" x14ac:dyDescent="0.2">
      <c r="A11" s="30" t="s">
        <v>20</v>
      </c>
      <c r="B11" s="28">
        <v>45861</v>
      </c>
      <c r="C11" s="27">
        <v>0.7</v>
      </c>
      <c r="D11" s="27">
        <v>37.5</v>
      </c>
      <c r="E11" s="49">
        <v>-1.41</v>
      </c>
      <c r="F11" s="35" t="s">
        <v>20</v>
      </c>
      <c r="G11" s="28">
        <v>45870</v>
      </c>
      <c r="H11" s="27">
        <v>0.57999999999999996</v>
      </c>
      <c r="I11" s="27">
        <v>33</v>
      </c>
      <c r="J11" s="49">
        <v>-1.33</v>
      </c>
      <c r="K11" s="30" t="s">
        <v>20</v>
      </c>
      <c r="L11" s="28">
        <v>45883</v>
      </c>
      <c r="M11" s="27">
        <v>0.62</v>
      </c>
      <c r="N11" s="27">
        <v>34.6</v>
      </c>
      <c r="O11" s="49">
        <v>-0.99</v>
      </c>
      <c r="P11" s="30" t="s">
        <v>20</v>
      </c>
      <c r="Q11" s="28">
        <v>45889</v>
      </c>
      <c r="R11" s="27">
        <v>0.75</v>
      </c>
      <c r="S11" s="27">
        <v>35.700000000000003</v>
      </c>
      <c r="T11" s="49">
        <v>-1.51</v>
      </c>
      <c r="U11" s="30" t="s">
        <v>20</v>
      </c>
      <c r="V11" s="28">
        <v>45897</v>
      </c>
      <c r="W11" s="27">
        <v>0.76</v>
      </c>
      <c r="X11" s="27">
        <v>32.5</v>
      </c>
      <c r="Y11" s="49">
        <v>-1</v>
      </c>
      <c r="Z11" s="30" t="s">
        <v>20</v>
      </c>
      <c r="AA11" s="28">
        <v>45904</v>
      </c>
      <c r="AB11" s="27">
        <v>0.71</v>
      </c>
      <c r="AC11" s="27">
        <v>37.5</v>
      </c>
      <c r="AD11" s="49">
        <v>-1.23</v>
      </c>
      <c r="AE11" s="30" t="s">
        <v>20</v>
      </c>
      <c r="AF11" s="28">
        <v>45918</v>
      </c>
      <c r="AG11" s="27">
        <v>0.69</v>
      </c>
      <c r="AH11" s="27">
        <v>31.4</v>
      </c>
      <c r="AI11" s="49">
        <v>-1</v>
      </c>
      <c r="AJ11" s="30" t="s">
        <v>20</v>
      </c>
      <c r="AK11" s="28">
        <v>45925</v>
      </c>
      <c r="AL11" s="27">
        <v>0.63</v>
      </c>
      <c r="AM11" s="27">
        <v>32.4</v>
      </c>
      <c r="AN11" s="49">
        <v>-1.1599999999999999</v>
      </c>
      <c r="AO11" s="30" t="s">
        <v>20</v>
      </c>
      <c r="AP11" s="28">
        <v>45932</v>
      </c>
      <c r="AQ11" s="27">
        <v>0.71</v>
      </c>
      <c r="AR11" s="27">
        <v>33.1</v>
      </c>
      <c r="AS11" s="49">
        <v>-1.29</v>
      </c>
      <c r="AT11" s="30"/>
      <c r="AU11" s="27"/>
      <c r="AV11" s="27"/>
      <c r="AW11" s="27"/>
      <c r="AX11" s="49"/>
      <c r="AY11" s="30"/>
      <c r="AZ11" s="27"/>
      <c r="BA11" s="27"/>
      <c r="BB11" s="27"/>
      <c r="BC11" s="49"/>
      <c r="BD11" s="30"/>
      <c r="BE11" s="27"/>
      <c r="BF11" s="27"/>
      <c r="BG11" s="27"/>
      <c r="BH11" s="49"/>
      <c r="BI11" s="121" t="s">
        <v>20</v>
      </c>
      <c r="BJ11" s="117">
        <v>45960</v>
      </c>
      <c r="BK11" s="116">
        <v>0.69</v>
      </c>
      <c r="BL11" s="116">
        <v>34.5</v>
      </c>
      <c r="BM11" s="133">
        <v>-1.35</v>
      </c>
      <c r="BN11" s="141" t="s">
        <v>20</v>
      </c>
      <c r="BO11" s="135">
        <v>45967</v>
      </c>
      <c r="BP11" s="136">
        <v>0.61</v>
      </c>
      <c r="BQ11" s="136">
        <v>27.6</v>
      </c>
      <c r="BR11" s="151">
        <v>-1.32</v>
      </c>
      <c r="BS11" s="30"/>
      <c r="BT11" s="27"/>
      <c r="BU11" s="27"/>
      <c r="BV11" s="27"/>
      <c r="BW11" s="49"/>
      <c r="BX11" s="141" t="s">
        <v>20</v>
      </c>
      <c r="BY11" s="135">
        <v>45981</v>
      </c>
      <c r="BZ11" s="136">
        <v>0.6</v>
      </c>
      <c r="CA11" s="136">
        <v>29.2</v>
      </c>
      <c r="CB11" s="142">
        <v>-1.1399999999999999</v>
      </c>
      <c r="CC11" s="17"/>
      <c r="CF11" s="19"/>
      <c r="CG11" s="18"/>
      <c r="CH11" s="17"/>
      <c r="CK11" s="19"/>
      <c r="CL11" s="18"/>
      <c r="CM11" s="17"/>
      <c r="CP11" s="19"/>
      <c r="CQ11" s="18"/>
      <c r="CR11" s="17"/>
      <c r="CU11" s="19"/>
      <c r="CV11" s="18"/>
      <c r="CZ11" s="19"/>
      <c r="DA11" s="8"/>
      <c r="DB11" s="79" t="s">
        <v>20</v>
      </c>
      <c r="DC11" s="64">
        <f t="shared" si="4"/>
        <v>0.67083333333333339</v>
      </c>
      <c r="DD11" s="25">
        <f t="shared" si="5"/>
        <v>33.250000000000007</v>
      </c>
      <c r="DE11" s="63">
        <f t="shared" si="6"/>
        <v>-1.2275000000000003</v>
      </c>
      <c r="DF11" s="64">
        <f t="shared" si="7"/>
        <v>-0.10559006211180136</v>
      </c>
      <c r="DG11" s="25">
        <f t="shared" si="8"/>
        <v>-0.12180451127819569</v>
      </c>
      <c r="DH11" s="63">
        <f t="shared" si="9"/>
        <v>-7.1283095723014528E-2</v>
      </c>
      <c r="DI11" s="64" t="e">
        <f t="shared" si="10"/>
        <v>#DIV/0!</v>
      </c>
      <c r="DJ11" s="25" t="e">
        <f t="shared" si="11"/>
        <v>#DIV/0!</v>
      </c>
      <c r="DK11" s="63" t="e">
        <f t="shared" si="12"/>
        <v>#DIV/0!</v>
      </c>
      <c r="DL11" s="64">
        <f t="shared" si="13"/>
        <v>-0.14285714285714282</v>
      </c>
      <c r="DM11" s="25">
        <f t="shared" si="14"/>
        <v>-0.22133333333333335</v>
      </c>
      <c r="DN11" s="63">
        <f t="shared" si="15"/>
        <v>-0.19148936170212769</v>
      </c>
    </row>
    <row r="12" spans="1:118" x14ac:dyDescent="0.2">
      <c r="A12" s="30" t="s">
        <v>65</v>
      </c>
      <c r="B12" s="93">
        <v>45883</v>
      </c>
      <c r="C12" s="27">
        <v>0.89</v>
      </c>
      <c r="D12" s="27">
        <v>39.799999999999997</v>
      </c>
      <c r="E12" s="49">
        <v>-1.34</v>
      </c>
      <c r="F12" s="35"/>
      <c r="G12" s="28"/>
      <c r="H12" s="27"/>
      <c r="I12" s="27"/>
      <c r="J12" s="49"/>
      <c r="K12" s="30" t="s">
        <v>65</v>
      </c>
      <c r="L12" s="28">
        <v>45883</v>
      </c>
      <c r="M12" s="27">
        <v>0.89</v>
      </c>
      <c r="N12" s="27">
        <v>39.799999999999997</v>
      </c>
      <c r="O12" s="49">
        <v>-1.34</v>
      </c>
      <c r="P12" s="30" t="s">
        <v>65</v>
      </c>
      <c r="Q12" s="28">
        <v>45889</v>
      </c>
      <c r="R12" s="27">
        <v>0.89</v>
      </c>
      <c r="S12" s="27">
        <v>40</v>
      </c>
      <c r="T12" s="49">
        <v>-1.3</v>
      </c>
      <c r="U12" s="30" t="s">
        <v>65</v>
      </c>
      <c r="V12" s="28">
        <v>45897</v>
      </c>
      <c r="W12" s="27">
        <v>1.1000000000000001</v>
      </c>
      <c r="X12" s="27">
        <v>37.200000000000003</v>
      </c>
      <c r="Y12" s="49">
        <v>-1.26</v>
      </c>
      <c r="Z12" s="30" t="s">
        <v>65</v>
      </c>
      <c r="AA12" s="28">
        <v>45904</v>
      </c>
      <c r="AB12" s="27">
        <v>1.04</v>
      </c>
      <c r="AC12" s="27">
        <v>39.6</v>
      </c>
      <c r="AD12" s="49">
        <v>-1.41</v>
      </c>
      <c r="AE12" s="30" t="s">
        <v>65</v>
      </c>
      <c r="AF12" s="28">
        <v>45918</v>
      </c>
      <c r="AG12" s="27">
        <v>1.1299999999999999</v>
      </c>
      <c r="AH12" s="27">
        <v>39.200000000000003</v>
      </c>
      <c r="AI12" s="49">
        <v>-1.41</v>
      </c>
      <c r="AJ12" s="30" t="s">
        <v>65</v>
      </c>
      <c r="AK12" s="28">
        <v>45925</v>
      </c>
      <c r="AL12" s="27">
        <v>1</v>
      </c>
      <c r="AM12" s="27">
        <v>43.6</v>
      </c>
      <c r="AN12" s="49">
        <v>-1.53</v>
      </c>
      <c r="AO12" s="30" t="s">
        <v>65</v>
      </c>
      <c r="AP12" s="28">
        <v>45932</v>
      </c>
      <c r="AQ12" s="27">
        <v>1.01</v>
      </c>
      <c r="AR12" s="27">
        <v>39.200000000000003</v>
      </c>
      <c r="AS12" s="49">
        <v>-1.48</v>
      </c>
      <c r="AT12" s="30" t="s">
        <v>65</v>
      </c>
      <c r="AU12" s="28">
        <v>45939</v>
      </c>
      <c r="AV12" s="27">
        <v>1.01</v>
      </c>
      <c r="AW12" s="27">
        <v>45.6</v>
      </c>
      <c r="AX12" s="49">
        <v>-1.5</v>
      </c>
      <c r="AY12" s="30"/>
      <c r="AZ12" s="27"/>
      <c r="BA12" s="27"/>
      <c r="BB12" s="27"/>
      <c r="BC12" s="49"/>
      <c r="BD12" s="30"/>
      <c r="BE12" s="27"/>
      <c r="BF12" s="27"/>
      <c r="BG12" s="27"/>
      <c r="BH12" s="49"/>
      <c r="BI12" s="122"/>
      <c r="BJ12" s="52"/>
      <c r="BK12" s="52"/>
      <c r="BL12" s="52"/>
      <c r="BM12" s="76"/>
      <c r="BN12" s="30"/>
      <c r="BO12" s="27"/>
      <c r="BP12" s="27"/>
      <c r="BQ12" s="27"/>
      <c r="BR12" s="49"/>
      <c r="BS12" s="30"/>
      <c r="BT12" s="27"/>
      <c r="BU12" s="27"/>
      <c r="BV12" s="27"/>
      <c r="BW12" s="49"/>
      <c r="BX12" s="30"/>
      <c r="BY12" s="27"/>
      <c r="BZ12" s="27"/>
      <c r="CA12" s="27"/>
      <c r="CB12" s="31"/>
      <c r="CC12" s="17"/>
      <c r="CF12" s="19"/>
      <c r="CG12" s="18"/>
      <c r="CH12" s="17"/>
      <c r="CK12" s="19"/>
      <c r="CL12" s="18"/>
      <c r="CP12" s="19"/>
      <c r="CQ12" s="18"/>
      <c r="CR12" s="17"/>
      <c r="CU12" s="19"/>
      <c r="CV12" s="18"/>
      <c r="CW12" s="17"/>
      <c r="CZ12" s="19"/>
      <c r="DA12" s="8"/>
      <c r="DB12" s="79" t="s">
        <v>72</v>
      </c>
      <c r="DC12" s="64">
        <f t="shared" si="4"/>
        <v>0.99555555555555564</v>
      </c>
      <c r="DD12" s="25">
        <f t="shared" si="5"/>
        <v>40.44444444444445</v>
      </c>
      <c r="DE12" s="63">
        <f t="shared" si="6"/>
        <v>-1.3966666666666667</v>
      </c>
      <c r="DF12" s="64"/>
      <c r="DG12" s="25"/>
      <c r="DH12" s="63"/>
      <c r="DI12" s="64"/>
      <c r="DJ12" s="25"/>
      <c r="DK12" s="63"/>
      <c r="DL12" s="64"/>
      <c r="DM12" s="25"/>
      <c r="DN12" s="63"/>
    </row>
    <row r="13" spans="1:118" x14ac:dyDescent="0.2">
      <c r="A13" s="30" t="s">
        <v>21</v>
      </c>
      <c r="B13" s="28">
        <v>45861</v>
      </c>
      <c r="C13" s="27">
        <v>0.78</v>
      </c>
      <c r="D13" s="27">
        <v>39.299999999999997</v>
      </c>
      <c r="E13" s="49">
        <v>-1.1599999999999999</v>
      </c>
      <c r="F13" s="35" t="s">
        <v>21</v>
      </c>
      <c r="G13" s="28">
        <v>45870</v>
      </c>
      <c r="H13" s="27">
        <v>0.74</v>
      </c>
      <c r="I13" s="27">
        <v>38.5</v>
      </c>
      <c r="J13" s="49">
        <v>-1.24</v>
      </c>
      <c r="K13" s="30" t="s">
        <v>21</v>
      </c>
      <c r="L13" s="28">
        <v>45883</v>
      </c>
      <c r="M13" s="27">
        <v>0.79</v>
      </c>
      <c r="N13" s="27">
        <v>37.4</v>
      </c>
      <c r="O13" s="49">
        <v>-1.1200000000000001</v>
      </c>
      <c r="P13" s="30" t="s">
        <v>21</v>
      </c>
      <c r="Q13" s="28">
        <v>45889</v>
      </c>
      <c r="R13" s="27">
        <v>0.79</v>
      </c>
      <c r="S13" s="27">
        <v>41.9</v>
      </c>
      <c r="T13" s="49">
        <v>-1.24</v>
      </c>
      <c r="U13" s="30" t="s">
        <v>21</v>
      </c>
      <c r="V13" s="28">
        <v>45897</v>
      </c>
      <c r="W13" s="27">
        <v>0.85</v>
      </c>
      <c r="X13" s="27">
        <v>42.6</v>
      </c>
      <c r="Y13" s="49">
        <v>-1.42</v>
      </c>
      <c r="Z13" s="30" t="s">
        <v>21</v>
      </c>
      <c r="AA13" s="28">
        <v>45904</v>
      </c>
      <c r="AB13" s="27">
        <v>0.79</v>
      </c>
      <c r="AC13" s="27">
        <v>41.7</v>
      </c>
      <c r="AD13" s="49">
        <v>-1.19</v>
      </c>
      <c r="AE13" s="30" t="s">
        <v>21</v>
      </c>
      <c r="AF13" s="28">
        <v>45918</v>
      </c>
      <c r="AG13" s="27">
        <v>0.83</v>
      </c>
      <c r="AH13" s="27">
        <v>42.7</v>
      </c>
      <c r="AI13" s="49">
        <v>-1.35</v>
      </c>
      <c r="AJ13" s="30" t="s">
        <v>21</v>
      </c>
      <c r="AK13" s="28">
        <v>45925</v>
      </c>
      <c r="AL13" s="27">
        <v>0.83</v>
      </c>
      <c r="AM13" s="27">
        <v>44.2</v>
      </c>
      <c r="AN13" s="49">
        <v>-1.37</v>
      </c>
      <c r="AO13" s="30" t="s">
        <v>21</v>
      </c>
      <c r="AP13" s="28">
        <v>45932</v>
      </c>
      <c r="AQ13" s="27">
        <v>0.73</v>
      </c>
      <c r="AR13" s="27">
        <v>40.6</v>
      </c>
      <c r="AS13" s="49">
        <v>-1.39</v>
      </c>
      <c r="AT13" s="30" t="s">
        <v>21</v>
      </c>
      <c r="AU13" s="28">
        <v>45939</v>
      </c>
      <c r="AV13" s="27">
        <v>0.79</v>
      </c>
      <c r="AW13" s="27">
        <v>41</v>
      </c>
      <c r="AX13" s="49">
        <v>-1.31</v>
      </c>
      <c r="AY13" s="30" t="s">
        <v>21</v>
      </c>
      <c r="AZ13" s="28">
        <v>45946</v>
      </c>
      <c r="BA13" s="27">
        <v>0.77</v>
      </c>
      <c r="BB13" s="27">
        <v>42.4</v>
      </c>
      <c r="BC13" s="49">
        <v>-1.37</v>
      </c>
      <c r="BD13" s="30" t="s">
        <v>21</v>
      </c>
      <c r="BE13" s="28">
        <v>45953</v>
      </c>
      <c r="BF13" s="27">
        <v>0.74</v>
      </c>
      <c r="BG13" s="27">
        <v>41</v>
      </c>
      <c r="BH13" s="49">
        <v>-1.26</v>
      </c>
      <c r="BI13" s="121" t="s">
        <v>21</v>
      </c>
      <c r="BJ13" s="117">
        <v>45960</v>
      </c>
      <c r="BK13" s="116">
        <v>0.81</v>
      </c>
      <c r="BL13" s="116">
        <v>39.5</v>
      </c>
      <c r="BM13" s="133">
        <v>-1.19</v>
      </c>
      <c r="BN13" s="141" t="s">
        <v>21</v>
      </c>
      <c r="BO13" s="135">
        <v>45967</v>
      </c>
      <c r="BP13" s="136">
        <v>0.88</v>
      </c>
      <c r="BQ13" s="136">
        <v>39.9</v>
      </c>
      <c r="BR13" s="151">
        <v>-1.25</v>
      </c>
      <c r="BS13" s="141" t="s">
        <v>21</v>
      </c>
      <c r="BT13" s="135">
        <v>45974</v>
      </c>
      <c r="BU13" s="136">
        <v>0.79</v>
      </c>
      <c r="BV13" s="136">
        <v>38.9</v>
      </c>
      <c r="BW13" s="151">
        <v>-1.19</v>
      </c>
      <c r="BX13" s="141" t="s">
        <v>21</v>
      </c>
      <c r="BY13" s="135">
        <v>45981</v>
      </c>
      <c r="BZ13" s="136">
        <v>0.76</v>
      </c>
      <c r="CA13" s="136">
        <v>37.5</v>
      </c>
      <c r="CB13" s="142">
        <v>-1.23</v>
      </c>
      <c r="CC13" s="17"/>
      <c r="CF13" s="19"/>
      <c r="CG13" s="18"/>
      <c r="CH13" s="17"/>
      <c r="CK13" s="19"/>
      <c r="CL13" s="18"/>
      <c r="CM13" s="17"/>
      <c r="CP13" s="19"/>
      <c r="CQ13" s="18"/>
      <c r="CR13" s="17"/>
      <c r="CU13" s="19"/>
      <c r="CV13" s="18"/>
      <c r="CZ13" s="19"/>
      <c r="DA13" s="8"/>
      <c r="DB13" s="79" t="s">
        <v>21</v>
      </c>
      <c r="DC13" s="64">
        <f t="shared" si="4"/>
        <v>0.79187500000000022</v>
      </c>
      <c r="DD13" s="25">
        <f t="shared" si="5"/>
        <v>40.568749999999994</v>
      </c>
      <c r="DE13" s="63">
        <f t="shared" si="6"/>
        <v>-1.2675000000000001</v>
      </c>
      <c r="DF13" s="64">
        <f t="shared" si="7"/>
        <v>-4.025256511444382E-2</v>
      </c>
      <c r="DG13" s="25">
        <f t="shared" si="8"/>
        <v>-7.5643198274533835E-2</v>
      </c>
      <c r="DH13" s="63">
        <f t="shared" si="9"/>
        <v>-2.9585798816568115E-2</v>
      </c>
      <c r="DI13" s="64">
        <f t="shared" si="10"/>
        <v>-3.7974683544303826E-2</v>
      </c>
      <c r="DJ13" s="25">
        <f t="shared" si="11"/>
        <v>-3.5989717223650353E-2</v>
      </c>
      <c r="DK13" s="63">
        <f t="shared" si="12"/>
        <v>3.3613445378151294E-2</v>
      </c>
      <c r="DL13" s="64">
        <f t="shared" si="13"/>
        <v>-2.5641025641025664E-2</v>
      </c>
      <c r="DM13" s="25">
        <f t="shared" si="14"/>
        <v>-4.5801526717557182E-2</v>
      </c>
      <c r="DN13" s="63">
        <f t="shared" si="15"/>
        <v>6.0344827586206955E-2</v>
      </c>
    </row>
    <row r="14" spans="1:118" x14ac:dyDescent="0.2">
      <c r="A14" s="30" t="s">
        <v>22</v>
      </c>
      <c r="B14" s="28">
        <v>45861</v>
      </c>
      <c r="C14" s="27">
        <v>0.83</v>
      </c>
      <c r="D14" s="27">
        <v>43.7</v>
      </c>
      <c r="E14" s="49">
        <v>-1.41</v>
      </c>
      <c r="F14" s="35" t="s">
        <v>22</v>
      </c>
      <c r="G14" s="28">
        <v>45870</v>
      </c>
      <c r="H14" s="27">
        <v>0.96</v>
      </c>
      <c r="I14" s="27">
        <v>40.4</v>
      </c>
      <c r="J14" s="49">
        <v>-1.39</v>
      </c>
      <c r="K14" s="30" t="s">
        <v>22</v>
      </c>
      <c r="L14" s="28">
        <v>45883</v>
      </c>
      <c r="M14" s="27">
        <v>0.94</v>
      </c>
      <c r="N14" s="27">
        <v>42.3</v>
      </c>
      <c r="O14" s="49">
        <v>-1.32</v>
      </c>
      <c r="P14" s="30" t="s">
        <v>22</v>
      </c>
      <c r="Q14" s="28">
        <v>45889</v>
      </c>
      <c r="R14" s="27">
        <v>0.94</v>
      </c>
      <c r="S14" s="27">
        <v>42.6</v>
      </c>
      <c r="T14" s="49">
        <v>-1.52</v>
      </c>
      <c r="U14" s="30" t="s">
        <v>22</v>
      </c>
      <c r="V14" s="28">
        <v>45897</v>
      </c>
      <c r="W14" s="27">
        <v>0.84</v>
      </c>
      <c r="X14" s="27">
        <v>41.3</v>
      </c>
      <c r="Y14" s="49">
        <v>-1.48</v>
      </c>
      <c r="Z14" s="30" t="s">
        <v>22</v>
      </c>
      <c r="AA14" s="28">
        <v>45904</v>
      </c>
      <c r="AB14" s="27">
        <v>0.85</v>
      </c>
      <c r="AC14" s="27">
        <v>41.1</v>
      </c>
      <c r="AD14" s="49">
        <v>-1.47</v>
      </c>
      <c r="AE14" s="30" t="s">
        <v>22</v>
      </c>
      <c r="AF14" s="28">
        <v>45918</v>
      </c>
      <c r="AG14" s="27">
        <v>0.87</v>
      </c>
      <c r="AH14" s="27">
        <v>36.799999999999997</v>
      </c>
      <c r="AI14" s="49">
        <v>-1.31</v>
      </c>
      <c r="AJ14" s="30" t="s">
        <v>22</v>
      </c>
      <c r="AK14" s="28">
        <v>45925</v>
      </c>
      <c r="AL14" s="27">
        <v>1.01</v>
      </c>
      <c r="AM14" s="27">
        <v>55</v>
      </c>
      <c r="AN14" s="49">
        <v>-1.68</v>
      </c>
      <c r="AO14" s="30" t="s">
        <v>22</v>
      </c>
      <c r="AP14" s="28">
        <v>45932</v>
      </c>
      <c r="AQ14" s="27">
        <v>0.86</v>
      </c>
      <c r="AR14" s="27">
        <v>37.700000000000003</v>
      </c>
      <c r="AS14" s="49">
        <v>-1.41</v>
      </c>
      <c r="AT14" s="30" t="s">
        <v>22</v>
      </c>
      <c r="AU14" s="28">
        <v>45939</v>
      </c>
      <c r="AV14" s="27">
        <v>0.81</v>
      </c>
      <c r="AW14" s="27">
        <v>33.9</v>
      </c>
      <c r="AX14" s="49">
        <v>-1.25</v>
      </c>
      <c r="AY14" s="30" t="s">
        <v>22</v>
      </c>
      <c r="AZ14" s="28">
        <v>45946</v>
      </c>
      <c r="BA14" s="27">
        <v>0.96</v>
      </c>
      <c r="BB14" s="27">
        <v>36.799999999999997</v>
      </c>
      <c r="BC14" s="49">
        <v>-1.19</v>
      </c>
      <c r="BD14" s="30" t="s">
        <v>22</v>
      </c>
      <c r="BE14" s="28">
        <v>45953</v>
      </c>
      <c r="BF14" s="27">
        <v>0.77</v>
      </c>
      <c r="BG14" s="27">
        <v>35.6</v>
      </c>
      <c r="BH14" s="49">
        <v>-1.0900000000000001</v>
      </c>
      <c r="BI14" s="121" t="s">
        <v>22</v>
      </c>
      <c r="BJ14" s="117">
        <v>45960</v>
      </c>
      <c r="BK14" s="116">
        <v>0.83</v>
      </c>
      <c r="BL14" s="116">
        <v>32.4</v>
      </c>
      <c r="BM14" s="133">
        <v>-1.41</v>
      </c>
      <c r="BN14" s="141" t="s">
        <v>22</v>
      </c>
      <c r="BO14" s="135">
        <v>45967</v>
      </c>
      <c r="BP14" s="136">
        <v>0.9</v>
      </c>
      <c r="BQ14" s="136">
        <v>37.9</v>
      </c>
      <c r="BR14" s="151">
        <v>-1.33</v>
      </c>
      <c r="BS14" s="141" t="s">
        <v>22</v>
      </c>
      <c r="BT14" s="135">
        <v>45974</v>
      </c>
      <c r="BU14" s="136">
        <v>0.99</v>
      </c>
      <c r="BV14" s="136">
        <v>36.6</v>
      </c>
      <c r="BW14" s="151">
        <v>-1.3</v>
      </c>
      <c r="BX14" s="141" t="s">
        <v>22</v>
      </c>
      <c r="BY14" s="135">
        <v>45981</v>
      </c>
      <c r="BZ14" s="136">
        <v>0.85</v>
      </c>
      <c r="CA14" s="136">
        <v>36.700000000000003</v>
      </c>
      <c r="CB14" s="142">
        <v>-1.22</v>
      </c>
      <c r="CC14" s="17"/>
      <c r="CF14" s="19"/>
      <c r="CG14" s="18"/>
      <c r="CH14" s="17"/>
      <c r="CK14" s="19"/>
      <c r="CL14" s="18"/>
      <c r="CP14" s="19"/>
      <c r="CQ14" s="18"/>
      <c r="CR14" s="17"/>
      <c r="CU14" s="19"/>
      <c r="CV14" s="18"/>
      <c r="CW14" s="17"/>
      <c r="CZ14" s="19"/>
      <c r="DA14" s="8"/>
      <c r="DB14" s="79" t="s">
        <v>22</v>
      </c>
      <c r="DC14" s="64">
        <f t="shared" si="4"/>
        <v>0.88812500000000005</v>
      </c>
      <c r="DD14" s="25">
        <f t="shared" si="5"/>
        <v>39.425000000000004</v>
      </c>
      <c r="DE14" s="63">
        <f t="shared" si="6"/>
        <v>-1.3612500000000003</v>
      </c>
      <c r="DF14" s="64">
        <f t="shared" si="7"/>
        <v>-4.2927515833919856E-2</v>
      </c>
      <c r="DG14" s="25">
        <f t="shared" si="8"/>
        <v>-6.911857958148386E-2</v>
      </c>
      <c r="DH14" s="63">
        <f t="shared" si="9"/>
        <v>-0.10376492194674033</v>
      </c>
      <c r="DI14" s="64">
        <f t="shared" si="10"/>
        <v>-0.14141414141414144</v>
      </c>
      <c r="DJ14" s="25">
        <f t="shared" si="11"/>
        <v>2.7322404371585085E-3</v>
      </c>
      <c r="DK14" s="63">
        <f t="shared" si="12"/>
        <v>-6.153846153846159E-2</v>
      </c>
      <c r="DL14" s="64">
        <f t="shared" si="13"/>
        <v>2.4096385542168697E-2</v>
      </c>
      <c r="DM14" s="25">
        <f t="shared" si="14"/>
        <v>-0.16018306636155605</v>
      </c>
      <c r="DN14" s="63">
        <f t="shared" si="15"/>
        <v>-0.13475177304964536</v>
      </c>
    </row>
    <row r="15" spans="1:118" x14ac:dyDescent="0.2">
      <c r="A15" s="30" t="s">
        <v>23</v>
      </c>
      <c r="B15" s="28">
        <v>45861</v>
      </c>
      <c r="C15" s="27">
        <v>0.65</v>
      </c>
      <c r="D15" s="27">
        <v>33.4</v>
      </c>
      <c r="E15" s="49">
        <v>-1.22</v>
      </c>
      <c r="F15" s="35" t="s">
        <v>23</v>
      </c>
      <c r="G15" s="28">
        <v>45870</v>
      </c>
      <c r="H15" s="27">
        <v>0.53</v>
      </c>
      <c r="I15" s="27">
        <v>29.9</v>
      </c>
      <c r="J15" s="49">
        <v>-1.3</v>
      </c>
      <c r="K15" s="30" t="s">
        <v>23</v>
      </c>
      <c r="L15" s="28">
        <v>45883</v>
      </c>
      <c r="M15" s="27">
        <v>0.5</v>
      </c>
      <c r="N15" s="27">
        <v>30.8</v>
      </c>
      <c r="O15" s="49">
        <v>-1.22</v>
      </c>
      <c r="P15" s="30" t="s">
        <v>23</v>
      </c>
      <c r="Q15" s="28">
        <v>45889</v>
      </c>
      <c r="R15" s="27">
        <v>0.51</v>
      </c>
      <c r="S15" s="27">
        <v>27.9</v>
      </c>
      <c r="T15" s="49">
        <v>-1.07</v>
      </c>
      <c r="U15" s="30" t="s">
        <v>23</v>
      </c>
      <c r="V15" s="28">
        <v>45897</v>
      </c>
      <c r="W15" s="27">
        <v>0.6</v>
      </c>
      <c r="X15" s="27">
        <v>25.4</v>
      </c>
      <c r="Y15" s="49">
        <v>-0.99</v>
      </c>
      <c r="Z15" s="30"/>
      <c r="AA15" s="27"/>
      <c r="AB15" s="27"/>
      <c r="AC15" s="27"/>
      <c r="AD15" s="49"/>
      <c r="AE15" s="35"/>
      <c r="AF15" s="26"/>
      <c r="AG15" s="26"/>
      <c r="AH15" s="26"/>
      <c r="AI15" s="40"/>
      <c r="AJ15" s="30" t="s">
        <v>23</v>
      </c>
      <c r="AK15" s="28">
        <v>45925</v>
      </c>
      <c r="AL15" s="27">
        <v>0.61</v>
      </c>
      <c r="AM15" s="27">
        <v>29.2</v>
      </c>
      <c r="AN15" s="49">
        <v>-1.1200000000000001</v>
      </c>
      <c r="AO15" s="30"/>
      <c r="AP15" s="27"/>
      <c r="AQ15" s="27"/>
      <c r="AR15" s="27"/>
      <c r="AS15" s="49"/>
      <c r="AT15" s="30" t="s">
        <v>23</v>
      </c>
      <c r="AU15" s="28">
        <v>45939</v>
      </c>
      <c r="AV15" s="27">
        <v>0.61</v>
      </c>
      <c r="AW15" s="27">
        <v>31</v>
      </c>
      <c r="AX15" s="49">
        <v>-1.1200000000000001</v>
      </c>
      <c r="AY15" s="30"/>
      <c r="AZ15" s="27"/>
      <c r="BA15" s="27"/>
      <c r="BB15" s="27"/>
      <c r="BC15" s="49"/>
      <c r="BD15" s="30" t="s">
        <v>23</v>
      </c>
      <c r="BE15" s="28">
        <v>45953</v>
      </c>
      <c r="BF15" s="27">
        <v>0.61</v>
      </c>
      <c r="BG15" s="27">
        <v>33.1</v>
      </c>
      <c r="BH15" s="49">
        <v>-1.19</v>
      </c>
      <c r="BI15" s="121" t="s">
        <v>23</v>
      </c>
      <c r="BJ15" s="117">
        <v>45960</v>
      </c>
      <c r="BK15" s="116">
        <v>0.56000000000000005</v>
      </c>
      <c r="BL15" s="116">
        <v>29.5</v>
      </c>
      <c r="BM15" s="133">
        <v>-1.21</v>
      </c>
      <c r="BN15" s="30"/>
      <c r="BO15" s="27"/>
      <c r="BP15" s="27"/>
      <c r="BQ15" s="27"/>
      <c r="BR15" s="49"/>
      <c r="BS15" s="30"/>
      <c r="BT15" s="27"/>
      <c r="BU15" s="27"/>
      <c r="BV15" s="27"/>
      <c r="BW15" s="49"/>
      <c r="BX15" s="30"/>
      <c r="BY15" s="27"/>
      <c r="BZ15" s="27"/>
      <c r="CA15" s="27"/>
      <c r="CB15" s="31"/>
      <c r="CC15" s="17"/>
      <c r="CF15" s="19"/>
      <c r="CG15" s="18"/>
      <c r="CH15" s="17"/>
      <c r="CK15" s="19"/>
      <c r="CL15" s="18"/>
      <c r="CM15" s="17"/>
      <c r="CP15" s="19"/>
      <c r="CQ15" s="18"/>
      <c r="CR15" s="17"/>
      <c r="CU15" s="19"/>
      <c r="CV15" s="18"/>
      <c r="CW15" s="17"/>
      <c r="CZ15" s="19"/>
      <c r="DA15" s="8"/>
      <c r="DB15" s="79" t="s">
        <v>23</v>
      </c>
      <c r="DC15" s="64">
        <f t="shared" si="4"/>
        <v>0.57555555555555571</v>
      </c>
      <c r="DD15" s="25">
        <f t="shared" si="5"/>
        <v>30.022222222222222</v>
      </c>
      <c r="DE15" s="63">
        <f t="shared" si="6"/>
        <v>-1.1600000000000001</v>
      </c>
      <c r="DF15" s="64"/>
      <c r="DG15" s="25"/>
      <c r="DH15" s="63"/>
      <c r="DI15" s="64"/>
      <c r="DJ15" s="25"/>
      <c r="DK15" s="63"/>
      <c r="DL15" s="64"/>
      <c r="DM15" s="25"/>
      <c r="DN15" s="63"/>
    </row>
    <row r="16" spans="1:118" x14ac:dyDescent="0.2">
      <c r="A16" s="30" t="s">
        <v>24</v>
      </c>
      <c r="B16" s="28">
        <v>45861</v>
      </c>
      <c r="C16" s="27">
        <v>1</v>
      </c>
      <c r="D16" s="27">
        <v>46.5</v>
      </c>
      <c r="E16" s="49">
        <v>-1.47</v>
      </c>
      <c r="F16" s="35" t="s">
        <v>24</v>
      </c>
      <c r="G16" s="28">
        <v>45870</v>
      </c>
      <c r="H16" s="27">
        <v>1.04</v>
      </c>
      <c r="I16" s="27">
        <v>52.2</v>
      </c>
      <c r="J16" s="49">
        <v>-1.45</v>
      </c>
      <c r="K16" s="30" t="s">
        <v>24</v>
      </c>
      <c r="L16" s="28">
        <v>45883</v>
      </c>
      <c r="M16" s="27">
        <v>0.99</v>
      </c>
      <c r="N16" s="27">
        <v>51.3</v>
      </c>
      <c r="O16" s="49">
        <v>-1.56</v>
      </c>
      <c r="P16" s="30" t="s">
        <v>24</v>
      </c>
      <c r="Q16" s="28">
        <v>45889</v>
      </c>
      <c r="R16" s="27">
        <v>0.91</v>
      </c>
      <c r="S16" s="27">
        <v>49.7</v>
      </c>
      <c r="T16" s="49">
        <v>-1.51</v>
      </c>
      <c r="U16" s="30" t="s">
        <v>24</v>
      </c>
      <c r="V16" s="28">
        <v>45897</v>
      </c>
      <c r="W16" s="27">
        <v>0.92</v>
      </c>
      <c r="X16" s="27">
        <v>46.8</v>
      </c>
      <c r="Y16" s="49">
        <v>-1.24</v>
      </c>
      <c r="Z16" s="30"/>
      <c r="AA16" s="27"/>
      <c r="AB16" s="27"/>
      <c r="AC16" s="27"/>
      <c r="AD16" s="49"/>
      <c r="AE16" s="35"/>
      <c r="AF16" s="26"/>
      <c r="AG16" s="26"/>
      <c r="AH16" s="26"/>
      <c r="AI16" s="40"/>
      <c r="AJ16" s="30" t="s">
        <v>24</v>
      </c>
      <c r="AK16" s="28">
        <v>45925</v>
      </c>
      <c r="AL16" s="27">
        <v>0.9</v>
      </c>
      <c r="AM16" s="27">
        <v>39.799999999999997</v>
      </c>
      <c r="AN16" s="49">
        <v>-1.29</v>
      </c>
      <c r="AO16" s="30" t="s">
        <v>24</v>
      </c>
      <c r="AP16" s="28">
        <v>45932</v>
      </c>
      <c r="AQ16" s="27">
        <v>0.91</v>
      </c>
      <c r="AR16" s="27">
        <v>40.799999999999997</v>
      </c>
      <c r="AS16" s="49">
        <v>-1.23</v>
      </c>
      <c r="AT16" s="30" t="s">
        <v>24</v>
      </c>
      <c r="AU16" s="28">
        <v>45939</v>
      </c>
      <c r="AV16" s="27">
        <v>0.9</v>
      </c>
      <c r="AW16" s="27">
        <v>46</v>
      </c>
      <c r="AX16" s="49">
        <v>-1.38</v>
      </c>
      <c r="AY16" s="30" t="s">
        <v>24</v>
      </c>
      <c r="AZ16" s="28">
        <v>45946</v>
      </c>
      <c r="BA16" s="27">
        <v>0.96</v>
      </c>
      <c r="BB16" s="27">
        <v>44.1</v>
      </c>
      <c r="BC16" s="49">
        <v>-1.29</v>
      </c>
      <c r="BD16" s="30" t="s">
        <v>24</v>
      </c>
      <c r="BE16" s="28">
        <v>45953</v>
      </c>
      <c r="BF16" s="27">
        <v>0.97</v>
      </c>
      <c r="BG16" s="27">
        <v>38.700000000000003</v>
      </c>
      <c r="BH16" s="49">
        <v>-1.18</v>
      </c>
      <c r="BI16" s="121" t="s">
        <v>24</v>
      </c>
      <c r="BJ16" s="117">
        <v>45960</v>
      </c>
      <c r="BK16" s="116">
        <v>0.99</v>
      </c>
      <c r="BL16" s="116">
        <v>41.9</v>
      </c>
      <c r="BM16" s="133">
        <v>-1.19</v>
      </c>
      <c r="BN16" s="141" t="s">
        <v>24</v>
      </c>
      <c r="BO16" s="135">
        <v>45967</v>
      </c>
      <c r="BP16" s="136">
        <v>0.89</v>
      </c>
      <c r="BQ16" s="136">
        <v>44.1</v>
      </c>
      <c r="BR16" s="151">
        <v>-1.22</v>
      </c>
      <c r="BS16" s="141" t="s">
        <v>24</v>
      </c>
      <c r="BT16" s="135">
        <v>45974</v>
      </c>
      <c r="BU16" s="136">
        <v>0.88</v>
      </c>
      <c r="BV16" s="136">
        <v>47</v>
      </c>
      <c r="BW16" s="151">
        <v>-1.26</v>
      </c>
      <c r="BX16" s="141" t="s">
        <v>24</v>
      </c>
      <c r="BY16" s="135">
        <v>45981</v>
      </c>
      <c r="BZ16" s="136">
        <v>0.88</v>
      </c>
      <c r="CA16" s="136">
        <v>43</v>
      </c>
      <c r="CB16" s="142">
        <v>-1.23</v>
      </c>
      <c r="CC16" s="17"/>
      <c r="CF16" s="19"/>
      <c r="CG16" s="18"/>
      <c r="CH16" s="17"/>
      <c r="CK16" s="19"/>
      <c r="CL16" s="18"/>
      <c r="CP16" s="19"/>
      <c r="CQ16" s="18"/>
      <c r="CR16" s="17"/>
      <c r="CU16" s="19"/>
      <c r="CV16" s="18"/>
      <c r="CZ16" s="19"/>
      <c r="DA16" s="8"/>
      <c r="DB16" s="79" t="s">
        <v>24</v>
      </c>
      <c r="DC16" s="64">
        <f t="shared" si="4"/>
        <v>0.93857142857142883</v>
      </c>
      <c r="DD16" s="25">
        <f t="shared" si="5"/>
        <v>45.135714285714286</v>
      </c>
      <c r="DE16" s="63">
        <f t="shared" si="6"/>
        <v>-1.3214285714285714</v>
      </c>
      <c r="DF16" s="64">
        <f t="shared" si="7"/>
        <v>-6.2404870624048966E-2</v>
      </c>
      <c r="DG16" s="25">
        <f t="shared" si="8"/>
        <v>-4.7317613546447229E-2</v>
      </c>
      <c r="DH16" s="63">
        <f t="shared" si="9"/>
        <v>-6.9189189189189176E-2</v>
      </c>
      <c r="DI16" s="64">
        <f t="shared" si="10"/>
        <v>0</v>
      </c>
      <c r="DJ16" s="25">
        <f t="shared" si="11"/>
        <v>-8.5106382978723402E-2</v>
      </c>
      <c r="DK16" s="63">
        <f t="shared" si="12"/>
        <v>-2.3809523809523829E-2</v>
      </c>
      <c r="DL16" s="64">
        <f t="shared" si="13"/>
        <v>-0.12</v>
      </c>
      <c r="DM16" s="25">
        <f t="shared" si="14"/>
        <v>-7.5268817204301078E-2</v>
      </c>
      <c r="DN16" s="63">
        <f t="shared" si="15"/>
        <v>-0.16326530612244897</v>
      </c>
    </row>
    <row r="17" spans="1:118" x14ac:dyDescent="0.2">
      <c r="A17" s="30" t="s">
        <v>25</v>
      </c>
      <c r="B17" s="28">
        <v>45861</v>
      </c>
      <c r="C17" s="27">
        <v>0.66</v>
      </c>
      <c r="D17" s="27">
        <v>36.9</v>
      </c>
      <c r="E17" s="49">
        <v>-1.48</v>
      </c>
      <c r="F17" s="35" t="s">
        <v>25</v>
      </c>
      <c r="G17" s="28">
        <v>45870</v>
      </c>
      <c r="H17" s="27">
        <v>0.68</v>
      </c>
      <c r="I17" s="27">
        <v>37.299999999999997</v>
      </c>
      <c r="J17" s="49">
        <v>-1.82</v>
      </c>
      <c r="K17" s="30" t="s">
        <v>25</v>
      </c>
      <c r="L17" s="28">
        <v>45883</v>
      </c>
      <c r="M17" s="27">
        <v>0.68</v>
      </c>
      <c r="N17" s="27">
        <v>35.700000000000003</v>
      </c>
      <c r="O17" s="49">
        <v>-1.36</v>
      </c>
      <c r="P17" s="30" t="s">
        <v>25</v>
      </c>
      <c r="Q17" s="28">
        <v>45889</v>
      </c>
      <c r="R17" s="27">
        <v>0.64</v>
      </c>
      <c r="S17" s="27">
        <v>35</v>
      </c>
      <c r="T17" s="49">
        <v>-1.36</v>
      </c>
      <c r="U17" s="30" t="s">
        <v>25</v>
      </c>
      <c r="V17" s="28">
        <v>45897</v>
      </c>
      <c r="W17" s="27">
        <v>0.64</v>
      </c>
      <c r="X17" s="27">
        <v>36.5</v>
      </c>
      <c r="Y17" s="49">
        <v>-1.55</v>
      </c>
      <c r="Z17" s="30" t="s">
        <v>25</v>
      </c>
      <c r="AA17" s="28">
        <v>45904</v>
      </c>
      <c r="AB17" s="27">
        <v>0.65</v>
      </c>
      <c r="AC17" s="27">
        <v>37.9</v>
      </c>
      <c r="AD17" s="49">
        <v>-1.38</v>
      </c>
      <c r="AE17" s="30" t="s">
        <v>25</v>
      </c>
      <c r="AF17" s="28">
        <v>45918</v>
      </c>
      <c r="AG17" s="27">
        <v>0.7</v>
      </c>
      <c r="AH17" s="27">
        <v>35.799999999999997</v>
      </c>
      <c r="AI17" s="49">
        <v>-1.27</v>
      </c>
      <c r="AJ17" s="30" t="s">
        <v>25</v>
      </c>
      <c r="AK17" s="28">
        <v>45925</v>
      </c>
      <c r="AL17" s="27">
        <v>0.73</v>
      </c>
      <c r="AM17" s="27">
        <v>36.799999999999997</v>
      </c>
      <c r="AN17" s="49">
        <v>-1.36</v>
      </c>
      <c r="AO17" s="30" t="s">
        <v>25</v>
      </c>
      <c r="AP17" s="28">
        <v>45932</v>
      </c>
      <c r="AQ17" s="27">
        <v>0.64</v>
      </c>
      <c r="AR17" s="27">
        <v>33.299999999999997</v>
      </c>
      <c r="AS17" s="49">
        <v>-1.21</v>
      </c>
      <c r="AT17" s="30" t="s">
        <v>25</v>
      </c>
      <c r="AU17" s="28">
        <v>45939</v>
      </c>
      <c r="AV17" s="27">
        <v>0.7</v>
      </c>
      <c r="AW17" s="27">
        <v>33.4</v>
      </c>
      <c r="AX17" s="49">
        <v>-1.29</v>
      </c>
      <c r="AY17" s="30" t="s">
        <v>25</v>
      </c>
      <c r="AZ17" s="28">
        <v>45946</v>
      </c>
      <c r="BA17" s="27">
        <v>0.66</v>
      </c>
      <c r="BB17" s="27">
        <v>31.7</v>
      </c>
      <c r="BC17" s="49">
        <v>-1.28</v>
      </c>
      <c r="BD17" s="30" t="s">
        <v>25</v>
      </c>
      <c r="BE17" s="28">
        <v>45953</v>
      </c>
      <c r="BF17" s="27">
        <v>0.66</v>
      </c>
      <c r="BG17" s="27">
        <v>32</v>
      </c>
      <c r="BH17" s="49">
        <v>-1.1499999999999999</v>
      </c>
      <c r="BI17" s="121" t="s">
        <v>25</v>
      </c>
      <c r="BJ17" s="117">
        <v>45960</v>
      </c>
      <c r="BK17" s="116">
        <v>0.64</v>
      </c>
      <c r="BL17" s="116">
        <v>31.5</v>
      </c>
      <c r="BM17" s="133">
        <v>-1.1000000000000001</v>
      </c>
      <c r="BN17" s="141" t="s">
        <v>25</v>
      </c>
      <c r="BO17" s="135">
        <v>45967</v>
      </c>
      <c r="BP17" s="136">
        <v>0.74</v>
      </c>
      <c r="BQ17" s="136">
        <v>35.700000000000003</v>
      </c>
      <c r="BR17" s="151">
        <v>-1.39</v>
      </c>
      <c r="BS17" s="141" t="s">
        <v>25</v>
      </c>
      <c r="BT17" s="135">
        <v>45974</v>
      </c>
      <c r="BU17" s="136">
        <v>0.76</v>
      </c>
      <c r="BV17" s="136">
        <v>36.5</v>
      </c>
      <c r="BW17" s="151">
        <v>-1.49</v>
      </c>
      <c r="BX17" s="141" t="s">
        <v>25</v>
      </c>
      <c r="BY17" s="135">
        <v>45981</v>
      </c>
      <c r="BZ17" s="136">
        <v>0.71</v>
      </c>
      <c r="CA17" s="136">
        <v>33.200000000000003</v>
      </c>
      <c r="CB17" s="142">
        <v>-1.33</v>
      </c>
      <c r="CC17" s="17"/>
      <c r="CF17" s="19"/>
      <c r="CG17" s="18"/>
      <c r="CH17" s="17"/>
      <c r="CK17" s="19"/>
      <c r="CL17" s="18"/>
      <c r="CM17" s="17"/>
      <c r="CP17" s="19"/>
      <c r="CQ17" s="18"/>
      <c r="CR17" s="17"/>
      <c r="CU17" s="19"/>
      <c r="CV17" s="18"/>
      <c r="CW17" s="17"/>
      <c r="CZ17" s="19"/>
      <c r="DA17" s="8"/>
      <c r="DB17" s="79" t="s">
        <v>25</v>
      </c>
      <c r="DC17" s="64">
        <f t="shared" si="4"/>
        <v>0.68062500000000004</v>
      </c>
      <c r="DD17" s="25">
        <f t="shared" si="5"/>
        <v>34.950000000000003</v>
      </c>
      <c r="DE17" s="63">
        <f t="shared" si="6"/>
        <v>-1.36375</v>
      </c>
      <c r="DF17" s="64">
        <f t="shared" si="7"/>
        <v>4.3158861340679415E-2</v>
      </c>
      <c r="DG17" s="25">
        <f t="shared" si="8"/>
        <v>-5.0071530758226034E-2</v>
      </c>
      <c r="DH17" s="63">
        <f t="shared" si="9"/>
        <v>-2.4747937671860638E-2</v>
      </c>
      <c r="DI17" s="64">
        <f t="shared" si="10"/>
        <v>-6.5789473684210578E-2</v>
      </c>
      <c r="DJ17" s="25">
        <f t="shared" si="11"/>
        <v>-9.0410958904109509E-2</v>
      </c>
      <c r="DK17" s="63">
        <f t="shared" si="12"/>
        <v>-0.10738255033557041</v>
      </c>
      <c r="DL17" s="64">
        <f t="shared" si="13"/>
        <v>7.5757575757575649E-2</v>
      </c>
      <c r="DM17" s="25">
        <f t="shared" si="14"/>
        <v>-0.10027100271002699</v>
      </c>
      <c r="DN17" s="63">
        <f t="shared" si="15"/>
        <v>-0.10135135135135129</v>
      </c>
    </row>
    <row r="18" spans="1:118" x14ac:dyDescent="0.2">
      <c r="A18" s="30" t="s">
        <v>26</v>
      </c>
      <c r="B18" s="28">
        <v>45861</v>
      </c>
      <c r="C18" s="27">
        <v>0.7</v>
      </c>
      <c r="D18" s="27">
        <v>37.1</v>
      </c>
      <c r="E18" s="49">
        <v>-1.35</v>
      </c>
      <c r="F18" s="35" t="s">
        <v>26</v>
      </c>
      <c r="G18" s="28">
        <v>45870</v>
      </c>
      <c r="H18" s="27">
        <v>0.81</v>
      </c>
      <c r="I18" s="27">
        <v>39.9</v>
      </c>
      <c r="J18" s="49">
        <v>-1.32</v>
      </c>
      <c r="K18" s="30" t="s">
        <v>26</v>
      </c>
      <c r="L18" s="28">
        <v>45883</v>
      </c>
      <c r="M18" s="27">
        <v>0.8</v>
      </c>
      <c r="N18" s="27">
        <v>34.9</v>
      </c>
      <c r="O18" s="49">
        <v>-1.46</v>
      </c>
      <c r="P18" s="30" t="s">
        <v>26</v>
      </c>
      <c r="Q18" s="28">
        <v>45889</v>
      </c>
      <c r="R18" s="27">
        <v>0.78</v>
      </c>
      <c r="S18" s="27">
        <v>34.5</v>
      </c>
      <c r="T18" s="49">
        <v>-1.27</v>
      </c>
      <c r="U18" s="30" t="s">
        <v>26</v>
      </c>
      <c r="V18" s="28">
        <v>45897</v>
      </c>
      <c r="W18" s="27">
        <v>0.81</v>
      </c>
      <c r="X18" s="27">
        <v>35.4</v>
      </c>
      <c r="Y18" s="49">
        <v>-1.38</v>
      </c>
      <c r="Z18" s="30" t="s">
        <v>26</v>
      </c>
      <c r="AA18" s="28">
        <v>45904</v>
      </c>
      <c r="AB18" s="27">
        <v>0.78</v>
      </c>
      <c r="AC18" s="27">
        <v>34.4</v>
      </c>
      <c r="AD18" s="49">
        <v>-1.25</v>
      </c>
      <c r="AE18" s="30" t="s">
        <v>26</v>
      </c>
      <c r="AF18" s="28">
        <v>45918</v>
      </c>
      <c r="AG18" s="27">
        <v>0.8</v>
      </c>
      <c r="AH18" s="27">
        <v>34.6</v>
      </c>
      <c r="AI18" s="49">
        <v>-1.38</v>
      </c>
      <c r="AJ18" s="30" t="s">
        <v>26</v>
      </c>
      <c r="AK18" s="28">
        <v>45925</v>
      </c>
      <c r="AL18" s="27">
        <v>0.75</v>
      </c>
      <c r="AM18" s="27">
        <v>32.700000000000003</v>
      </c>
      <c r="AN18" s="49">
        <v>-1.43</v>
      </c>
      <c r="AO18" s="30" t="s">
        <v>26</v>
      </c>
      <c r="AP18" s="28">
        <v>45932</v>
      </c>
      <c r="AQ18" s="27">
        <v>0.85</v>
      </c>
      <c r="AR18" s="27">
        <v>33.200000000000003</v>
      </c>
      <c r="AS18" s="49">
        <v>-1.33</v>
      </c>
      <c r="AT18" s="30" t="s">
        <v>26</v>
      </c>
      <c r="AU18" s="28">
        <v>45939</v>
      </c>
      <c r="AV18" s="27">
        <v>0.86</v>
      </c>
      <c r="AW18" s="27">
        <v>37.6</v>
      </c>
      <c r="AX18" s="49">
        <v>-1.39</v>
      </c>
      <c r="AY18" s="30" t="s">
        <v>26</v>
      </c>
      <c r="AZ18" s="28">
        <v>45946</v>
      </c>
      <c r="BA18" s="27">
        <v>0.81</v>
      </c>
      <c r="BB18" s="27">
        <v>37.299999999999997</v>
      </c>
      <c r="BC18" s="49">
        <v>-1.32</v>
      </c>
      <c r="BD18" s="30" t="s">
        <v>26</v>
      </c>
      <c r="BE18" s="28">
        <v>45953</v>
      </c>
      <c r="BF18" s="27">
        <v>0.71</v>
      </c>
      <c r="BG18" s="27">
        <v>31.2</v>
      </c>
      <c r="BH18" s="49">
        <v>-1.34</v>
      </c>
      <c r="BI18" s="121" t="s">
        <v>26</v>
      </c>
      <c r="BJ18" s="117">
        <v>45960</v>
      </c>
      <c r="BK18" s="116">
        <v>0.78</v>
      </c>
      <c r="BL18" s="116">
        <v>35.6</v>
      </c>
      <c r="BM18" s="133">
        <v>-1.34</v>
      </c>
      <c r="BN18" s="30"/>
      <c r="BO18" s="27"/>
      <c r="BP18" s="27"/>
      <c r="BQ18" s="27"/>
      <c r="BR18" s="49"/>
      <c r="BS18" s="30"/>
      <c r="BT18" s="27"/>
      <c r="BU18" s="27"/>
      <c r="BV18" s="27"/>
      <c r="BW18" s="49"/>
      <c r="BX18" s="30"/>
      <c r="BY18" s="27"/>
      <c r="BZ18" s="27"/>
      <c r="CA18" s="27"/>
      <c r="CB18" s="31"/>
      <c r="CC18" s="17"/>
      <c r="CF18" s="19"/>
      <c r="CG18" s="18"/>
      <c r="CH18" s="17"/>
      <c r="CK18" s="19"/>
      <c r="CL18" s="18"/>
      <c r="CM18" s="17"/>
      <c r="CP18" s="19"/>
      <c r="CQ18" s="18"/>
      <c r="CR18" s="17"/>
      <c r="CU18" s="19"/>
      <c r="CV18" s="18"/>
      <c r="CW18" s="17"/>
      <c r="CZ18" s="19"/>
      <c r="DA18" s="8"/>
      <c r="DB18" s="79" t="s">
        <v>26</v>
      </c>
      <c r="DC18" s="64">
        <f t="shared" si="4"/>
        <v>0.78769230769230769</v>
      </c>
      <c r="DD18" s="25">
        <f t="shared" si="5"/>
        <v>35.261538461538464</v>
      </c>
      <c r="DE18" s="63">
        <f t="shared" si="6"/>
        <v>-1.3507692307692309</v>
      </c>
      <c r="DF18" s="64"/>
      <c r="DG18" s="25"/>
      <c r="DH18" s="63"/>
      <c r="DI18" s="64"/>
      <c r="DJ18" s="25"/>
      <c r="DK18" s="63"/>
      <c r="DL18" s="64"/>
      <c r="DM18" s="25"/>
      <c r="DN18" s="63"/>
    </row>
    <row r="19" spans="1:118" x14ac:dyDescent="0.2">
      <c r="A19" s="30" t="s">
        <v>27</v>
      </c>
      <c r="B19" s="28">
        <v>45861</v>
      </c>
      <c r="C19" s="27">
        <v>0.87</v>
      </c>
      <c r="D19" s="27">
        <v>42.8</v>
      </c>
      <c r="E19" s="49">
        <v>-1.05</v>
      </c>
      <c r="F19" s="35" t="s">
        <v>27</v>
      </c>
      <c r="G19" s="28">
        <v>45870</v>
      </c>
      <c r="H19" s="27">
        <v>1.07</v>
      </c>
      <c r="I19" s="27">
        <v>45.1</v>
      </c>
      <c r="J19" s="49">
        <v>-1.3</v>
      </c>
      <c r="K19" s="30" t="s">
        <v>27</v>
      </c>
      <c r="L19" s="28">
        <v>45883</v>
      </c>
      <c r="M19" s="27">
        <v>1.1100000000000001</v>
      </c>
      <c r="N19" s="27">
        <v>49.4</v>
      </c>
      <c r="O19" s="49">
        <v>-1.32</v>
      </c>
      <c r="P19" s="30" t="s">
        <v>27</v>
      </c>
      <c r="Q19" s="28">
        <v>45889</v>
      </c>
      <c r="R19" s="27">
        <v>1.02</v>
      </c>
      <c r="S19" s="27">
        <v>44.7</v>
      </c>
      <c r="T19" s="49">
        <v>-1.1599999999999999</v>
      </c>
      <c r="U19" s="30" t="s">
        <v>27</v>
      </c>
      <c r="V19" s="28">
        <v>45897</v>
      </c>
      <c r="W19" s="27">
        <v>1.06</v>
      </c>
      <c r="X19" s="27">
        <v>46</v>
      </c>
      <c r="Y19" s="49">
        <v>-1.32</v>
      </c>
      <c r="Z19" s="30" t="s">
        <v>27</v>
      </c>
      <c r="AA19" s="28">
        <v>45904</v>
      </c>
      <c r="AB19" s="27">
        <v>1.19</v>
      </c>
      <c r="AC19" s="27">
        <v>49.5</v>
      </c>
      <c r="AD19" s="49">
        <v>-1.32</v>
      </c>
      <c r="AE19" s="30" t="s">
        <v>27</v>
      </c>
      <c r="AF19" s="28">
        <v>45918</v>
      </c>
      <c r="AG19" s="27">
        <v>1.02</v>
      </c>
      <c r="AH19" s="27">
        <v>48.6</v>
      </c>
      <c r="AI19" s="49">
        <v>-1.39</v>
      </c>
      <c r="AJ19" s="30" t="s">
        <v>27</v>
      </c>
      <c r="AK19" s="28">
        <v>45925</v>
      </c>
      <c r="AL19" s="27">
        <v>1.1000000000000001</v>
      </c>
      <c r="AM19" s="27">
        <v>44.2</v>
      </c>
      <c r="AN19" s="49">
        <v>-1.32</v>
      </c>
      <c r="AO19" s="30" t="s">
        <v>27</v>
      </c>
      <c r="AP19" s="28">
        <v>45932</v>
      </c>
      <c r="AQ19" s="27">
        <v>0.81</v>
      </c>
      <c r="AR19" s="27">
        <v>41.5</v>
      </c>
      <c r="AS19" s="49">
        <v>-1.1100000000000001</v>
      </c>
      <c r="AT19" s="30" t="s">
        <v>27</v>
      </c>
      <c r="AU19" s="28">
        <v>45939</v>
      </c>
      <c r="AV19" s="27">
        <v>1.02</v>
      </c>
      <c r="AW19" s="27">
        <v>46.1</v>
      </c>
      <c r="AX19" s="49">
        <v>-1.31</v>
      </c>
      <c r="AY19" s="30" t="s">
        <v>27</v>
      </c>
      <c r="AZ19" s="28">
        <v>45946</v>
      </c>
      <c r="BA19" s="27">
        <v>1.01</v>
      </c>
      <c r="BB19" s="27">
        <v>46.8</v>
      </c>
      <c r="BC19" s="49">
        <v>-1.01</v>
      </c>
      <c r="BD19" s="30" t="s">
        <v>27</v>
      </c>
      <c r="BE19" s="28">
        <v>45953</v>
      </c>
      <c r="BF19" s="27">
        <v>1.08</v>
      </c>
      <c r="BG19" s="27">
        <v>45.1</v>
      </c>
      <c r="BH19" s="49">
        <v>-1.28</v>
      </c>
      <c r="BI19" s="121" t="s">
        <v>27</v>
      </c>
      <c r="BJ19" s="117">
        <v>45960</v>
      </c>
      <c r="BK19" s="116">
        <v>0.95</v>
      </c>
      <c r="BL19" s="116">
        <v>42.4</v>
      </c>
      <c r="BM19" s="133">
        <v>-1.1399999999999999</v>
      </c>
      <c r="BN19" s="141" t="s">
        <v>27</v>
      </c>
      <c r="BO19" s="135">
        <v>45967</v>
      </c>
      <c r="BP19" s="136">
        <v>1.1000000000000001</v>
      </c>
      <c r="BQ19" s="136">
        <v>42.2</v>
      </c>
      <c r="BR19" s="151">
        <v>-1.23</v>
      </c>
      <c r="BS19" s="141" t="s">
        <v>27</v>
      </c>
      <c r="BT19" s="135">
        <v>45974</v>
      </c>
      <c r="BU19" s="136">
        <v>1.06</v>
      </c>
      <c r="BV19" s="136">
        <v>41.8</v>
      </c>
      <c r="BW19" s="151">
        <v>-1.22</v>
      </c>
      <c r="BX19" s="141" t="s">
        <v>27</v>
      </c>
      <c r="BY19" s="135">
        <v>45981</v>
      </c>
      <c r="BZ19" s="136">
        <v>1.04</v>
      </c>
      <c r="CA19" s="136">
        <v>46.8</v>
      </c>
      <c r="CB19" s="142">
        <v>-1.35</v>
      </c>
      <c r="CC19" s="17"/>
      <c r="CF19" s="19"/>
      <c r="CG19" s="18"/>
      <c r="CH19" s="17"/>
      <c r="CK19" s="19"/>
      <c r="CL19" s="18"/>
      <c r="CM19" s="17"/>
      <c r="CP19" s="19"/>
      <c r="CQ19" s="18"/>
      <c r="CR19" s="17"/>
      <c r="CU19" s="19"/>
      <c r="CV19" s="18"/>
      <c r="CZ19" s="19"/>
      <c r="DA19" s="8"/>
      <c r="DB19" s="79" t="s">
        <v>27</v>
      </c>
      <c r="DC19" s="64">
        <f t="shared" si="4"/>
        <v>1.0318749999999999</v>
      </c>
      <c r="DD19" s="25">
        <f t="shared" si="5"/>
        <v>45.1875</v>
      </c>
      <c r="DE19" s="63">
        <f t="shared" si="6"/>
        <v>-1.2393750000000001</v>
      </c>
      <c r="DF19" s="64">
        <f t="shared" si="7"/>
        <v>7.8740157480316521E-3</v>
      </c>
      <c r="DG19" s="25">
        <f t="shared" si="8"/>
        <v>3.56846473029045E-2</v>
      </c>
      <c r="DH19" s="63">
        <f t="shared" si="9"/>
        <v>8.9258698940998457E-2</v>
      </c>
      <c r="DI19" s="64">
        <f t="shared" si="10"/>
        <v>-1.8867924528301903E-2</v>
      </c>
      <c r="DJ19" s="25">
        <f t="shared" si="11"/>
        <v>0.11961722488038279</v>
      </c>
      <c r="DK19" s="63">
        <f t="shared" si="12"/>
        <v>0.10655737704918042</v>
      </c>
      <c r="DL19" s="64">
        <f t="shared" si="13"/>
        <v>0.19540229885057475</v>
      </c>
      <c r="DM19" s="25">
        <f t="shared" si="14"/>
        <v>9.3457943925233655E-2</v>
      </c>
      <c r="DN19" s="63">
        <f t="shared" si="15"/>
        <v>0.28571428571428575</v>
      </c>
    </row>
    <row r="20" spans="1:118" x14ac:dyDescent="0.2">
      <c r="A20" s="30" t="s">
        <v>28</v>
      </c>
      <c r="B20" s="28">
        <v>45861</v>
      </c>
      <c r="C20" s="27">
        <v>0.9</v>
      </c>
      <c r="D20" s="27">
        <v>43.6</v>
      </c>
      <c r="E20" s="49">
        <v>-1.3</v>
      </c>
      <c r="F20" s="35" t="s">
        <v>28</v>
      </c>
      <c r="G20" s="28">
        <v>45870</v>
      </c>
      <c r="H20" s="27">
        <v>0.74</v>
      </c>
      <c r="I20" s="27">
        <v>39.6</v>
      </c>
      <c r="J20" s="49">
        <v>-1.31</v>
      </c>
      <c r="K20" s="30" t="s">
        <v>28</v>
      </c>
      <c r="L20" s="28">
        <v>45883</v>
      </c>
      <c r="M20" s="27">
        <v>0.89</v>
      </c>
      <c r="N20" s="27">
        <v>44.6</v>
      </c>
      <c r="O20" s="49">
        <v>-1.31</v>
      </c>
      <c r="P20" s="30" t="s">
        <v>28</v>
      </c>
      <c r="Q20" s="28">
        <v>45889</v>
      </c>
      <c r="R20" s="27">
        <v>0.91</v>
      </c>
      <c r="S20" s="27">
        <v>43.9</v>
      </c>
      <c r="T20" s="49">
        <v>-1.39</v>
      </c>
      <c r="U20" s="30"/>
      <c r="V20" s="28"/>
      <c r="W20" s="27"/>
      <c r="X20" s="27"/>
      <c r="Y20" s="49"/>
      <c r="Z20" s="30" t="s">
        <v>28</v>
      </c>
      <c r="AA20" s="28">
        <v>45904</v>
      </c>
      <c r="AB20" s="27">
        <v>0.9</v>
      </c>
      <c r="AC20" s="27">
        <v>41.8</v>
      </c>
      <c r="AD20" s="49">
        <v>-1.08</v>
      </c>
      <c r="AE20" s="30" t="s">
        <v>28</v>
      </c>
      <c r="AF20" s="28">
        <v>45918</v>
      </c>
      <c r="AG20" s="27">
        <v>0.93</v>
      </c>
      <c r="AH20" s="27">
        <v>43</v>
      </c>
      <c r="AI20" s="49">
        <v>-1.32</v>
      </c>
      <c r="AJ20" s="30" t="s">
        <v>28</v>
      </c>
      <c r="AK20" s="28">
        <v>45925</v>
      </c>
      <c r="AL20" s="27">
        <v>0.87</v>
      </c>
      <c r="AM20" s="27">
        <v>36.299999999999997</v>
      </c>
      <c r="AN20" s="49">
        <v>-1.1000000000000001</v>
      </c>
      <c r="AO20" s="30" t="s">
        <v>28</v>
      </c>
      <c r="AP20" s="28">
        <v>45932</v>
      </c>
      <c r="AQ20" s="27">
        <v>0.98</v>
      </c>
      <c r="AR20" s="27">
        <v>38</v>
      </c>
      <c r="AS20" s="49">
        <v>-1.06</v>
      </c>
      <c r="AT20" s="30"/>
      <c r="AU20" s="27"/>
      <c r="AV20" s="27"/>
      <c r="AW20" s="27"/>
      <c r="AX20" s="49"/>
      <c r="AY20" s="30" t="s">
        <v>28</v>
      </c>
      <c r="AZ20" s="28">
        <v>45946</v>
      </c>
      <c r="BA20" s="27">
        <v>1.02</v>
      </c>
      <c r="BB20" s="27">
        <v>43.2</v>
      </c>
      <c r="BC20" s="49">
        <v>-1.28</v>
      </c>
      <c r="BD20" s="30" t="s">
        <v>28</v>
      </c>
      <c r="BE20" s="28">
        <v>45953</v>
      </c>
      <c r="BF20" s="27">
        <v>1.18</v>
      </c>
      <c r="BG20" s="27">
        <v>43.3</v>
      </c>
      <c r="BH20" s="49">
        <v>-1.1399999999999999</v>
      </c>
      <c r="BI20" s="121" t="s">
        <v>28</v>
      </c>
      <c r="BJ20" s="117">
        <v>45960</v>
      </c>
      <c r="BK20" s="116">
        <v>0.93</v>
      </c>
      <c r="BL20" s="116">
        <v>39.1</v>
      </c>
      <c r="BM20" s="133">
        <v>-1.0900000000000001</v>
      </c>
      <c r="BN20" s="141" t="s">
        <v>28</v>
      </c>
      <c r="BO20" s="135">
        <v>45967</v>
      </c>
      <c r="BP20" s="136">
        <v>0.76</v>
      </c>
      <c r="BQ20" s="136">
        <v>34.700000000000003</v>
      </c>
      <c r="BR20" s="151">
        <v>-1.26</v>
      </c>
      <c r="BS20" s="141" t="s">
        <v>28</v>
      </c>
      <c r="BT20" s="135">
        <v>45974</v>
      </c>
      <c r="BU20" s="136">
        <v>1.05</v>
      </c>
      <c r="BV20" s="136">
        <v>37.5</v>
      </c>
      <c r="BW20" s="151">
        <v>-1.06</v>
      </c>
      <c r="BX20" s="30"/>
      <c r="BY20" s="27"/>
      <c r="BZ20" s="27"/>
      <c r="CA20" s="27"/>
      <c r="CB20" s="31"/>
      <c r="CC20" s="17"/>
      <c r="CF20" s="19"/>
      <c r="CG20" s="18"/>
      <c r="CH20" s="17"/>
      <c r="CK20" s="19"/>
      <c r="CL20" s="18"/>
      <c r="CM20" s="17"/>
      <c r="CP20" s="19"/>
      <c r="CQ20" s="18"/>
      <c r="CR20" s="17"/>
      <c r="CU20" s="19"/>
      <c r="CV20" s="18"/>
      <c r="CZ20" s="19"/>
      <c r="DA20" s="8"/>
      <c r="DB20" s="79" t="s">
        <v>28</v>
      </c>
      <c r="DC20" s="64">
        <f t="shared" si="4"/>
        <v>0.9276923076923077</v>
      </c>
      <c r="DD20" s="25">
        <f t="shared" si="5"/>
        <v>40.661538461538463</v>
      </c>
      <c r="DE20" s="63">
        <f t="shared" si="6"/>
        <v>-1.2076923076923078</v>
      </c>
      <c r="DF20" s="64"/>
      <c r="DG20" s="25"/>
      <c r="DH20" s="63"/>
      <c r="DI20" s="64"/>
      <c r="DJ20" s="25"/>
      <c r="DK20" s="63"/>
      <c r="DL20" s="64"/>
      <c r="DM20" s="25"/>
      <c r="DN20" s="63"/>
    </row>
    <row r="21" spans="1:118" x14ac:dyDescent="0.2">
      <c r="A21" s="30" t="s">
        <v>29</v>
      </c>
      <c r="B21" s="28">
        <v>45861</v>
      </c>
      <c r="C21" s="27">
        <v>0.91</v>
      </c>
      <c r="D21" s="27">
        <v>49.4</v>
      </c>
      <c r="E21" s="49">
        <v>-1.1299999999999999</v>
      </c>
      <c r="F21" s="35" t="s">
        <v>29</v>
      </c>
      <c r="G21" s="28">
        <v>45870</v>
      </c>
      <c r="H21" s="27">
        <v>0.9</v>
      </c>
      <c r="I21" s="27">
        <v>50.8</v>
      </c>
      <c r="J21" s="49">
        <v>-1.2</v>
      </c>
      <c r="K21" s="30"/>
      <c r="L21" s="28"/>
      <c r="M21" s="27"/>
      <c r="N21" s="27"/>
      <c r="O21" s="49"/>
      <c r="P21" s="30"/>
      <c r="Q21" s="28"/>
      <c r="R21" s="27"/>
      <c r="S21" s="27"/>
      <c r="T21" s="49"/>
      <c r="U21" s="30"/>
      <c r="V21" s="27"/>
      <c r="W21" s="27"/>
      <c r="X21" s="27"/>
      <c r="Y21" s="49"/>
      <c r="Z21" s="30"/>
      <c r="AA21" s="28"/>
      <c r="AB21" s="27"/>
      <c r="AC21" s="27"/>
      <c r="AD21" s="49"/>
      <c r="AE21" s="35"/>
      <c r="AF21" s="26"/>
      <c r="AG21" s="26"/>
      <c r="AH21" s="26"/>
      <c r="AI21" s="40"/>
      <c r="AJ21" s="30" t="s">
        <v>29</v>
      </c>
      <c r="AK21" s="28">
        <v>45925</v>
      </c>
      <c r="AL21" s="27">
        <v>0.83</v>
      </c>
      <c r="AM21" s="27">
        <v>51.2</v>
      </c>
      <c r="AN21" s="49">
        <v>-1.2</v>
      </c>
      <c r="AO21" s="30" t="s">
        <v>29</v>
      </c>
      <c r="AP21" s="28">
        <v>45932</v>
      </c>
      <c r="AQ21" s="27">
        <v>0.86</v>
      </c>
      <c r="AR21" s="27">
        <v>50.8</v>
      </c>
      <c r="AS21" s="49">
        <v>-1.32</v>
      </c>
      <c r="AT21" s="30" t="s">
        <v>29</v>
      </c>
      <c r="AU21" s="28">
        <v>45939</v>
      </c>
      <c r="AV21" s="27">
        <v>1.02</v>
      </c>
      <c r="AW21" s="27">
        <v>48.5</v>
      </c>
      <c r="AX21" s="49">
        <v>-1.3</v>
      </c>
      <c r="AY21" s="30" t="s">
        <v>29</v>
      </c>
      <c r="AZ21" s="28">
        <v>45946</v>
      </c>
      <c r="BA21" s="27">
        <v>1.08</v>
      </c>
      <c r="BB21" s="27">
        <v>45.7</v>
      </c>
      <c r="BC21" s="49">
        <v>-1.2</v>
      </c>
      <c r="BD21" s="30" t="s">
        <v>29</v>
      </c>
      <c r="BE21" s="28">
        <v>45953</v>
      </c>
      <c r="BF21" s="27">
        <v>1.04</v>
      </c>
      <c r="BG21" s="27">
        <v>49.3</v>
      </c>
      <c r="BH21" s="49">
        <v>-1.26</v>
      </c>
      <c r="BI21" s="122"/>
      <c r="BJ21" s="52"/>
      <c r="BK21" s="52"/>
      <c r="BL21" s="52"/>
      <c r="BM21" s="76"/>
      <c r="BN21" s="30"/>
      <c r="BO21" s="27"/>
      <c r="BP21" s="27"/>
      <c r="BQ21" s="27"/>
      <c r="BR21" s="49"/>
      <c r="BS21" s="30"/>
      <c r="BT21" s="27"/>
      <c r="BU21" s="27"/>
      <c r="BV21" s="27"/>
      <c r="BW21" s="49"/>
      <c r="BX21" s="30"/>
      <c r="BY21" s="27"/>
      <c r="BZ21" s="27"/>
      <c r="CA21" s="27"/>
      <c r="CB21" s="31"/>
      <c r="CC21" s="17"/>
      <c r="CF21" s="19"/>
      <c r="CG21" s="18"/>
      <c r="CH21" s="17"/>
      <c r="CK21" s="19"/>
      <c r="CL21" s="18"/>
      <c r="CM21" s="17"/>
      <c r="CP21" s="19"/>
      <c r="CQ21" s="18"/>
      <c r="CR21" s="17"/>
      <c r="CU21" s="19"/>
      <c r="CV21" s="18"/>
      <c r="CW21" s="17"/>
      <c r="CZ21" s="19"/>
      <c r="DA21" s="8"/>
      <c r="DB21" s="79" t="s">
        <v>29</v>
      </c>
      <c r="DC21" s="64">
        <f t="shared" si="4"/>
        <v>0.94857142857142851</v>
      </c>
      <c r="DD21" s="25">
        <f t="shared" si="5"/>
        <v>49.385714285714286</v>
      </c>
      <c r="DE21" s="63">
        <f t="shared" si="6"/>
        <v>-1.2300000000000002</v>
      </c>
      <c r="DF21" s="64"/>
      <c r="DG21" s="25"/>
      <c r="DH21" s="63"/>
      <c r="DI21" s="64"/>
      <c r="DJ21" s="25"/>
      <c r="DK21" s="63"/>
      <c r="DL21" s="64"/>
      <c r="DM21" s="25"/>
      <c r="DN21" s="63"/>
    </row>
    <row r="22" spans="1:118" x14ac:dyDescent="0.2">
      <c r="A22" s="30" t="s">
        <v>30</v>
      </c>
      <c r="B22" s="28">
        <v>45861</v>
      </c>
      <c r="C22" s="27">
        <v>0.93</v>
      </c>
      <c r="D22" s="27">
        <v>40.9</v>
      </c>
      <c r="E22" s="49">
        <v>-1.01</v>
      </c>
      <c r="F22" s="35" t="s">
        <v>30</v>
      </c>
      <c r="G22" s="28">
        <v>45870</v>
      </c>
      <c r="H22" s="27">
        <v>0.83</v>
      </c>
      <c r="I22" s="27">
        <v>38.9</v>
      </c>
      <c r="J22" s="49">
        <v>-1.1299999999999999</v>
      </c>
      <c r="K22" s="30" t="s">
        <v>30</v>
      </c>
      <c r="L22" s="28">
        <v>45883</v>
      </c>
      <c r="M22" s="27">
        <v>1</v>
      </c>
      <c r="N22" s="27">
        <v>42.3</v>
      </c>
      <c r="O22" s="49">
        <v>-1.19</v>
      </c>
      <c r="P22" s="30" t="s">
        <v>30</v>
      </c>
      <c r="Q22" s="28">
        <v>45889</v>
      </c>
      <c r="R22" s="27">
        <v>0.91</v>
      </c>
      <c r="S22" s="27">
        <v>38.700000000000003</v>
      </c>
      <c r="T22" s="49">
        <v>-1.1499999999999999</v>
      </c>
      <c r="U22" s="30" t="s">
        <v>30</v>
      </c>
      <c r="V22" s="28">
        <v>45897</v>
      </c>
      <c r="W22" s="27">
        <v>1</v>
      </c>
      <c r="X22" s="27">
        <v>47.1</v>
      </c>
      <c r="Y22" s="49">
        <v>-1.32</v>
      </c>
      <c r="Z22" s="30" t="s">
        <v>30</v>
      </c>
      <c r="AA22" s="28">
        <v>45904</v>
      </c>
      <c r="AB22" s="27">
        <v>0.91</v>
      </c>
      <c r="AC22" s="27">
        <v>39.1</v>
      </c>
      <c r="AD22" s="49">
        <v>-1.04</v>
      </c>
      <c r="AE22" s="35"/>
      <c r="AF22" s="26"/>
      <c r="AG22" s="26"/>
      <c r="AH22" s="26"/>
      <c r="AI22" s="40"/>
      <c r="AJ22" s="30" t="s">
        <v>30</v>
      </c>
      <c r="AK22" s="28">
        <v>45925</v>
      </c>
      <c r="AL22" s="27">
        <v>1.01</v>
      </c>
      <c r="AM22" s="27">
        <v>46</v>
      </c>
      <c r="AN22" s="49">
        <v>-1.24</v>
      </c>
      <c r="AO22" s="30" t="s">
        <v>30</v>
      </c>
      <c r="AP22" s="28">
        <v>45932</v>
      </c>
      <c r="AQ22" s="27">
        <v>0.84</v>
      </c>
      <c r="AR22" s="27">
        <v>36.1</v>
      </c>
      <c r="AS22" s="49">
        <v>-0.9</v>
      </c>
      <c r="AT22" s="30" t="s">
        <v>30</v>
      </c>
      <c r="AU22" s="28">
        <v>45939</v>
      </c>
      <c r="AV22" s="27">
        <v>0.86</v>
      </c>
      <c r="AW22" s="27">
        <v>43.9</v>
      </c>
      <c r="AX22" s="49">
        <v>-1.0900000000000001</v>
      </c>
      <c r="AY22" s="30" t="s">
        <v>30</v>
      </c>
      <c r="AZ22" s="28">
        <v>45946</v>
      </c>
      <c r="BA22" s="27">
        <v>0.92</v>
      </c>
      <c r="BB22" s="27">
        <v>44.6</v>
      </c>
      <c r="BC22" s="49">
        <v>-1.1299999999999999</v>
      </c>
      <c r="BD22" s="30" t="s">
        <v>30</v>
      </c>
      <c r="BE22" s="28">
        <v>45953</v>
      </c>
      <c r="BF22" s="27">
        <v>0.99</v>
      </c>
      <c r="BG22" s="27">
        <v>48.4</v>
      </c>
      <c r="BH22" s="49">
        <v>-1.1599999999999999</v>
      </c>
      <c r="BI22" s="121" t="s">
        <v>30</v>
      </c>
      <c r="BJ22" s="117">
        <v>45960</v>
      </c>
      <c r="BK22" s="116">
        <v>0.87</v>
      </c>
      <c r="BL22" s="116">
        <v>37.200000000000003</v>
      </c>
      <c r="BM22" s="133">
        <v>-1.04</v>
      </c>
      <c r="BN22" s="141" t="s">
        <v>30</v>
      </c>
      <c r="BO22" s="135">
        <v>45967</v>
      </c>
      <c r="BP22" s="136">
        <v>0.92</v>
      </c>
      <c r="BQ22" s="136">
        <v>40.6</v>
      </c>
      <c r="BR22" s="151">
        <v>-1.1399999999999999</v>
      </c>
      <c r="BS22" s="141" t="s">
        <v>30</v>
      </c>
      <c r="BT22" s="135">
        <v>45974</v>
      </c>
      <c r="BU22" s="136">
        <v>1.05</v>
      </c>
      <c r="BV22" s="136">
        <v>49.3</v>
      </c>
      <c r="BW22" s="151">
        <v>-1.22</v>
      </c>
      <c r="BX22" s="141" t="s">
        <v>30</v>
      </c>
      <c r="BY22" s="135">
        <v>45981</v>
      </c>
      <c r="BZ22" s="136">
        <v>1.04</v>
      </c>
      <c r="CA22" s="136">
        <v>48.9</v>
      </c>
      <c r="CB22" s="142">
        <v>-1.26</v>
      </c>
      <c r="CC22" s="17"/>
      <c r="CF22" s="19"/>
      <c r="CG22" s="18"/>
      <c r="CH22" s="17"/>
      <c r="CK22" s="19"/>
      <c r="CL22" s="18"/>
      <c r="CM22" s="17"/>
      <c r="CP22" s="19"/>
      <c r="CQ22" s="18"/>
      <c r="CR22" s="17"/>
      <c r="CU22" s="19"/>
      <c r="CV22" s="18"/>
      <c r="CW22" s="17"/>
      <c r="CZ22" s="19"/>
      <c r="DA22" s="8"/>
      <c r="DB22" s="79" t="s">
        <v>30</v>
      </c>
      <c r="DC22" s="64">
        <f t="shared" si="4"/>
        <v>0.93866666666666654</v>
      </c>
      <c r="DD22" s="25">
        <f t="shared" si="5"/>
        <v>42.79999999999999</v>
      </c>
      <c r="DE22" s="63">
        <f t="shared" si="6"/>
        <v>-1.1346666666666667</v>
      </c>
      <c r="DF22" s="64">
        <f t="shared" si="7"/>
        <v>0.10795454545454565</v>
      </c>
      <c r="DG22" s="25">
        <f t="shared" si="8"/>
        <v>0.14252336448598155</v>
      </c>
      <c r="DH22" s="63">
        <f t="shared" si="9"/>
        <v>0.11045828437132782</v>
      </c>
      <c r="DI22" s="64">
        <f t="shared" si="10"/>
        <v>-9.5238095238095316E-3</v>
      </c>
      <c r="DJ22" s="25">
        <f t="shared" si="11"/>
        <v>-8.1135902636916557E-3</v>
      </c>
      <c r="DK22" s="63">
        <f t="shared" si="12"/>
        <v>3.2786885245901669E-2</v>
      </c>
      <c r="DL22" s="64">
        <f t="shared" si="13"/>
        <v>0.1182795698924731</v>
      </c>
      <c r="DM22" s="25">
        <f t="shared" si="14"/>
        <v>0.19559902200488999</v>
      </c>
      <c r="DN22" s="63">
        <f t="shared" si="15"/>
        <v>0.24752475247524752</v>
      </c>
    </row>
    <row r="23" spans="1:118" x14ac:dyDescent="0.2">
      <c r="A23" s="30" t="s">
        <v>31</v>
      </c>
      <c r="B23" s="28">
        <v>45861</v>
      </c>
      <c r="C23" s="27">
        <v>0.75</v>
      </c>
      <c r="D23" s="27">
        <v>41.1</v>
      </c>
      <c r="E23" s="49">
        <v>-1.21</v>
      </c>
      <c r="F23" s="35" t="s">
        <v>31</v>
      </c>
      <c r="G23" s="28">
        <v>45870</v>
      </c>
      <c r="H23" s="27">
        <v>0.72</v>
      </c>
      <c r="I23" s="27">
        <v>41.8</v>
      </c>
      <c r="J23" s="49">
        <v>-1.25</v>
      </c>
      <c r="K23" s="30" t="s">
        <v>31</v>
      </c>
      <c r="L23" s="28">
        <v>45883</v>
      </c>
      <c r="M23" s="27">
        <v>0.76</v>
      </c>
      <c r="N23" s="27">
        <v>38.6</v>
      </c>
      <c r="O23" s="49">
        <v>-1.06</v>
      </c>
      <c r="P23" s="30" t="s">
        <v>31</v>
      </c>
      <c r="Q23" s="28">
        <v>45889</v>
      </c>
      <c r="R23" s="27">
        <v>0.82</v>
      </c>
      <c r="S23" s="27">
        <v>41.2</v>
      </c>
      <c r="T23" s="49">
        <v>-1.17</v>
      </c>
      <c r="U23" s="30" t="s">
        <v>31</v>
      </c>
      <c r="V23" s="28">
        <v>45897</v>
      </c>
      <c r="W23" s="27">
        <v>0.87</v>
      </c>
      <c r="X23" s="27">
        <v>41</v>
      </c>
      <c r="Y23" s="49">
        <v>-1.1499999999999999</v>
      </c>
      <c r="Z23" s="30" t="s">
        <v>31</v>
      </c>
      <c r="AA23" s="28">
        <v>45904</v>
      </c>
      <c r="AB23" s="27">
        <v>0.85</v>
      </c>
      <c r="AC23" s="27">
        <v>41.3</v>
      </c>
      <c r="AD23" s="49">
        <v>-1.26</v>
      </c>
      <c r="AE23" s="30" t="s">
        <v>31</v>
      </c>
      <c r="AF23" s="28">
        <v>45918</v>
      </c>
      <c r="AG23" s="27">
        <v>0.89</v>
      </c>
      <c r="AH23" s="27">
        <v>42.1</v>
      </c>
      <c r="AI23" s="49">
        <v>-1.2</v>
      </c>
      <c r="AJ23" s="30" t="s">
        <v>31</v>
      </c>
      <c r="AK23" s="28">
        <v>45925</v>
      </c>
      <c r="AL23" s="27">
        <v>0.89</v>
      </c>
      <c r="AM23" s="27">
        <v>41.6</v>
      </c>
      <c r="AN23" s="49">
        <v>-1.32</v>
      </c>
      <c r="AO23" s="30" t="s">
        <v>31</v>
      </c>
      <c r="AP23" s="28">
        <v>45932</v>
      </c>
      <c r="AQ23" s="27">
        <v>0.68</v>
      </c>
      <c r="AR23" s="27">
        <v>40.9</v>
      </c>
      <c r="AS23" s="49">
        <v>-1.07</v>
      </c>
      <c r="AT23" s="30" t="s">
        <v>31</v>
      </c>
      <c r="AU23" s="28">
        <v>45939</v>
      </c>
      <c r="AV23" s="27">
        <v>0.86</v>
      </c>
      <c r="AW23" s="27">
        <v>40.6</v>
      </c>
      <c r="AX23" s="49">
        <v>-1.1299999999999999</v>
      </c>
      <c r="AY23" s="30" t="s">
        <v>31</v>
      </c>
      <c r="AZ23" s="28">
        <v>45946</v>
      </c>
      <c r="BA23" s="27">
        <v>0.91</v>
      </c>
      <c r="BB23" s="27">
        <v>40.299999999999997</v>
      </c>
      <c r="BC23" s="49">
        <v>-1.07</v>
      </c>
      <c r="BD23" s="30" t="s">
        <v>31</v>
      </c>
      <c r="BE23" s="28">
        <v>45953</v>
      </c>
      <c r="BF23" s="27">
        <v>0.96</v>
      </c>
      <c r="BG23" s="27">
        <v>41.4</v>
      </c>
      <c r="BH23" s="49">
        <v>-1.21</v>
      </c>
      <c r="BI23" s="121" t="s">
        <v>31</v>
      </c>
      <c r="BJ23" s="117">
        <v>45960</v>
      </c>
      <c r="BK23" s="116">
        <v>0.97</v>
      </c>
      <c r="BL23" s="116">
        <v>42.6</v>
      </c>
      <c r="BM23" s="133">
        <v>-1.2</v>
      </c>
      <c r="BN23" s="141" t="s">
        <v>31</v>
      </c>
      <c r="BO23" s="135">
        <v>45967</v>
      </c>
      <c r="BP23" s="136">
        <v>0.85</v>
      </c>
      <c r="BQ23" s="136">
        <v>43.5</v>
      </c>
      <c r="BR23" s="151">
        <v>-1.23</v>
      </c>
      <c r="BS23" s="141" t="s">
        <v>31</v>
      </c>
      <c r="BT23" s="135">
        <v>45974</v>
      </c>
      <c r="BU23" s="136">
        <v>0.93</v>
      </c>
      <c r="BV23" s="136">
        <v>41.8</v>
      </c>
      <c r="BW23" s="151">
        <v>-1.34</v>
      </c>
      <c r="BX23" s="141" t="s">
        <v>31</v>
      </c>
      <c r="BY23" s="135">
        <v>45981</v>
      </c>
      <c r="BZ23" s="136">
        <v>0.84</v>
      </c>
      <c r="CA23" s="136">
        <v>40.299999999999997</v>
      </c>
      <c r="CB23" s="142">
        <v>-1.18</v>
      </c>
      <c r="CC23" s="17"/>
      <c r="CF23" s="19"/>
      <c r="CG23" s="18"/>
      <c r="CH23" s="17"/>
      <c r="CK23" s="19"/>
      <c r="CL23" s="18"/>
      <c r="CM23" s="17"/>
      <c r="CP23" s="19"/>
      <c r="CQ23" s="18"/>
      <c r="CR23" s="17"/>
      <c r="CU23" s="19"/>
      <c r="CV23" s="18"/>
      <c r="CW23" s="17"/>
      <c r="CZ23" s="19"/>
      <c r="DA23" s="8"/>
      <c r="DB23" s="79" t="s">
        <v>31</v>
      </c>
      <c r="DC23" s="64">
        <f t="shared" si="4"/>
        <v>0.84687499999999982</v>
      </c>
      <c r="DD23" s="25">
        <f t="shared" si="5"/>
        <v>41.256249999999994</v>
      </c>
      <c r="DE23" s="63">
        <f t="shared" si="6"/>
        <v>-1.190625</v>
      </c>
      <c r="DF23" s="64">
        <f t="shared" si="7"/>
        <v>-8.1180811808116374E-3</v>
      </c>
      <c r="DG23" s="25">
        <f t="shared" si="8"/>
        <v>-2.3178306317224597E-2</v>
      </c>
      <c r="DH23" s="63">
        <f t="shared" si="9"/>
        <v>-8.9238845144357839E-3</v>
      </c>
      <c r="DI23" s="64">
        <f t="shared" si="10"/>
        <v>-9.6774193548387177E-2</v>
      </c>
      <c r="DJ23" s="25">
        <f t="shared" si="11"/>
        <v>-3.5885167464114832E-2</v>
      </c>
      <c r="DK23" s="63">
        <f t="shared" si="12"/>
        <v>-0.11940298507462696</v>
      </c>
      <c r="DL23" s="64">
        <f t="shared" si="13"/>
        <v>0.11999999999999995</v>
      </c>
      <c r="DM23" s="25">
        <f t="shared" si="14"/>
        <v>-1.9464720194647307E-2</v>
      </c>
      <c r="DN23" s="63">
        <f t="shared" si="15"/>
        <v>-2.4793388429752088E-2</v>
      </c>
    </row>
    <row r="24" spans="1:118" x14ac:dyDescent="0.2">
      <c r="A24" s="35" t="s">
        <v>55</v>
      </c>
      <c r="B24" s="93">
        <v>45870</v>
      </c>
      <c r="C24" s="27">
        <v>0.84</v>
      </c>
      <c r="D24" s="27">
        <v>41.9</v>
      </c>
      <c r="E24" s="49">
        <v>-1.62</v>
      </c>
      <c r="F24" s="35" t="s">
        <v>55</v>
      </c>
      <c r="G24" s="28">
        <v>45870</v>
      </c>
      <c r="H24" s="27">
        <v>0.84</v>
      </c>
      <c r="I24" s="27">
        <v>41.9</v>
      </c>
      <c r="J24" s="49">
        <v>-1.62</v>
      </c>
      <c r="K24" s="30" t="s">
        <v>55</v>
      </c>
      <c r="L24" s="28">
        <v>45883</v>
      </c>
      <c r="M24" s="27">
        <v>0.79</v>
      </c>
      <c r="N24" s="27">
        <v>35.299999999999997</v>
      </c>
      <c r="O24" s="49">
        <v>-1.3</v>
      </c>
      <c r="P24" s="30" t="s">
        <v>55</v>
      </c>
      <c r="Q24" s="28">
        <v>45889</v>
      </c>
      <c r="R24" s="27">
        <v>0.84</v>
      </c>
      <c r="S24" s="27">
        <v>43.1</v>
      </c>
      <c r="T24" s="49">
        <v>-1.61</v>
      </c>
      <c r="U24" s="30" t="s">
        <v>55</v>
      </c>
      <c r="V24" s="28">
        <v>45897</v>
      </c>
      <c r="W24" s="27">
        <v>0.84</v>
      </c>
      <c r="X24" s="27">
        <v>42.2</v>
      </c>
      <c r="Y24" s="49">
        <v>-1.36</v>
      </c>
      <c r="Z24" s="30" t="s">
        <v>55</v>
      </c>
      <c r="AA24" s="28">
        <v>45904</v>
      </c>
      <c r="AB24" s="27">
        <v>0.9</v>
      </c>
      <c r="AC24" s="27">
        <v>43.3</v>
      </c>
      <c r="AD24" s="49">
        <v>-1.43</v>
      </c>
      <c r="AE24" s="35"/>
      <c r="AF24" s="26"/>
      <c r="AG24" s="26"/>
      <c r="AH24" s="26"/>
      <c r="AI24" s="40"/>
      <c r="AJ24" s="30"/>
      <c r="AK24" s="27"/>
      <c r="AL24" s="27"/>
      <c r="AM24" s="27"/>
      <c r="AN24" s="49"/>
      <c r="AO24" s="30" t="s">
        <v>55</v>
      </c>
      <c r="AP24" s="28">
        <v>45932</v>
      </c>
      <c r="AQ24" s="27">
        <v>0.93</v>
      </c>
      <c r="AR24" s="27">
        <v>45.3</v>
      </c>
      <c r="AS24" s="49">
        <v>-1.44</v>
      </c>
      <c r="AT24" s="30"/>
      <c r="AU24" s="27"/>
      <c r="AV24" s="27"/>
      <c r="AW24" s="27"/>
      <c r="AX24" s="49"/>
      <c r="AY24" s="30"/>
      <c r="AZ24" s="27"/>
      <c r="BA24" s="27"/>
      <c r="BB24" s="27"/>
      <c r="BC24" s="49"/>
      <c r="BD24" s="30"/>
      <c r="BE24" s="27"/>
      <c r="BF24" s="27"/>
      <c r="BG24" s="27"/>
      <c r="BH24" s="49"/>
      <c r="BI24" s="122"/>
      <c r="BJ24" s="52"/>
      <c r="BK24" s="52"/>
      <c r="BL24" s="52"/>
      <c r="BM24" s="76"/>
      <c r="BN24" s="30"/>
      <c r="BO24" s="27"/>
      <c r="BP24" s="27"/>
      <c r="BQ24" s="27"/>
      <c r="BR24" s="49"/>
      <c r="BS24" s="30"/>
      <c r="BT24" s="27"/>
      <c r="BU24" s="27"/>
      <c r="BV24" s="27"/>
      <c r="BW24" s="49"/>
      <c r="BX24" s="30"/>
      <c r="BY24" s="27"/>
      <c r="BZ24" s="27"/>
      <c r="CA24" s="27"/>
      <c r="CB24" s="31"/>
      <c r="CC24" s="17"/>
      <c r="CF24" s="19"/>
      <c r="CG24" s="18"/>
      <c r="CH24" s="17"/>
      <c r="CK24" s="19"/>
      <c r="CL24" s="18"/>
      <c r="CM24" s="17"/>
      <c r="CP24" s="19"/>
      <c r="CQ24" s="18"/>
      <c r="CR24" s="17"/>
      <c r="CU24" s="19"/>
      <c r="CV24" s="18"/>
      <c r="CW24" s="17"/>
      <c r="CZ24" s="19"/>
      <c r="DA24" s="8"/>
      <c r="DB24" s="79" t="s">
        <v>55</v>
      </c>
      <c r="DC24" s="64">
        <f t="shared" si="4"/>
        <v>0.8542857142857142</v>
      </c>
      <c r="DD24" s="25">
        <f t="shared" si="5"/>
        <v>41.857142857142854</v>
      </c>
      <c r="DE24" s="63">
        <f t="shared" si="6"/>
        <v>-1.4828571428571429</v>
      </c>
      <c r="DF24" s="64"/>
      <c r="DG24" s="25"/>
      <c r="DH24" s="63"/>
      <c r="DI24" s="64"/>
      <c r="DJ24" s="25"/>
      <c r="DK24" s="63"/>
      <c r="DL24" s="64"/>
      <c r="DM24" s="25"/>
      <c r="DN24" s="63"/>
    </row>
    <row r="25" spans="1:118" x14ac:dyDescent="0.2">
      <c r="A25" s="30" t="s">
        <v>32</v>
      </c>
      <c r="B25" s="28">
        <v>45861</v>
      </c>
      <c r="C25" s="27">
        <v>0.8</v>
      </c>
      <c r="D25" s="27">
        <v>34.4</v>
      </c>
      <c r="E25" s="49">
        <v>-1.5</v>
      </c>
      <c r="F25" s="35" t="s">
        <v>32</v>
      </c>
      <c r="G25" s="28">
        <v>45870</v>
      </c>
      <c r="H25" s="27">
        <v>0.74</v>
      </c>
      <c r="I25" s="27">
        <v>35.299999999999997</v>
      </c>
      <c r="J25" s="49">
        <v>-1.53</v>
      </c>
      <c r="K25" s="30" t="s">
        <v>32</v>
      </c>
      <c r="L25" s="28">
        <v>45883</v>
      </c>
      <c r="M25" s="27">
        <v>0.82</v>
      </c>
      <c r="N25" s="27">
        <v>33.4</v>
      </c>
      <c r="O25" s="49">
        <v>-1.41</v>
      </c>
      <c r="P25" s="30" t="s">
        <v>32</v>
      </c>
      <c r="Q25" s="28">
        <v>45889</v>
      </c>
      <c r="R25" s="27">
        <v>0.69</v>
      </c>
      <c r="S25" s="27">
        <v>33.4</v>
      </c>
      <c r="T25" s="49">
        <v>-1.28</v>
      </c>
      <c r="U25" s="30" t="s">
        <v>32</v>
      </c>
      <c r="V25" s="28">
        <v>45897</v>
      </c>
      <c r="W25" s="27">
        <v>0.74</v>
      </c>
      <c r="X25" s="27">
        <v>33</v>
      </c>
      <c r="Y25" s="49">
        <v>-1.1499999999999999</v>
      </c>
      <c r="Z25" s="30" t="s">
        <v>32</v>
      </c>
      <c r="AA25" s="28">
        <v>45904</v>
      </c>
      <c r="AB25" s="27">
        <v>0.72</v>
      </c>
      <c r="AC25" s="27">
        <v>35.1</v>
      </c>
      <c r="AD25" s="49">
        <v>-1.48</v>
      </c>
      <c r="AE25" s="30" t="s">
        <v>32</v>
      </c>
      <c r="AF25" s="28">
        <v>45918</v>
      </c>
      <c r="AG25" s="27">
        <v>0.68</v>
      </c>
      <c r="AH25" s="27">
        <v>34.4</v>
      </c>
      <c r="AI25" s="49">
        <v>-1.48</v>
      </c>
      <c r="AJ25" s="30" t="s">
        <v>32</v>
      </c>
      <c r="AK25" s="28">
        <v>45925</v>
      </c>
      <c r="AL25" s="27">
        <v>0.69</v>
      </c>
      <c r="AM25" s="27">
        <v>33.9</v>
      </c>
      <c r="AN25" s="49">
        <v>-1.45</v>
      </c>
      <c r="AO25" s="30" t="s">
        <v>32</v>
      </c>
      <c r="AP25" s="28">
        <v>45932</v>
      </c>
      <c r="AQ25" s="27">
        <v>0.74</v>
      </c>
      <c r="AR25" s="27">
        <v>33.4</v>
      </c>
      <c r="AS25" s="49">
        <v>-1.49</v>
      </c>
      <c r="AT25" s="30" t="s">
        <v>32</v>
      </c>
      <c r="AU25" s="28">
        <v>45939</v>
      </c>
      <c r="AV25" s="27">
        <v>0.79</v>
      </c>
      <c r="AW25" s="27">
        <v>33.700000000000003</v>
      </c>
      <c r="AX25" s="49">
        <v>-1.37</v>
      </c>
      <c r="AY25" s="30" t="s">
        <v>32</v>
      </c>
      <c r="AZ25" s="28">
        <v>45946</v>
      </c>
      <c r="BA25" s="27">
        <v>0.76</v>
      </c>
      <c r="BB25" s="27">
        <v>36.799999999999997</v>
      </c>
      <c r="BC25" s="49">
        <v>-1.46</v>
      </c>
      <c r="BD25" s="30" t="s">
        <v>32</v>
      </c>
      <c r="BE25" s="28">
        <v>45953</v>
      </c>
      <c r="BF25" s="27">
        <v>0.75</v>
      </c>
      <c r="BG25" s="27">
        <v>36.6</v>
      </c>
      <c r="BH25" s="49">
        <v>-1.54</v>
      </c>
      <c r="BI25" s="121" t="s">
        <v>32</v>
      </c>
      <c r="BJ25" s="117">
        <v>45960</v>
      </c>
      <c r="BK25" s="116">
        <v>0.69</v>
      </c>
      <c r="BL25" s="116">
        <v>36.1</v>
      </c>
      <c r="BM25" s="133">
        <v>-1.51</v>
      </c>
      <c r="BN25" s="141" t="s">
        <v>32</v>
      </c>
      <c r="BO25" s="135">
        <v>45967</v>
      </c>
      <c r="BP25" s="136">
        <v>0.68</v>
      </c>
      <c r="BQ25" s="136">
        <v>33.299999999999997</v>
      </c>
      <c r="BR25" s="151">
        <v>-1.42</v>
      </c>
      <c r="BS25" s="30"/>
      <c r="BT25" s="27"/>
      <c r="BU25" s="27"/>
      <c r="BV25" s="27"/>
      <c r="BW25" s="49"/>
      <c r="BX25" s="141" t="s">
        <v>32</v>
      </c>
      <c r="BY25" s="135">
        <v>45981</v>
      </c>
      <c r="BZ25" s="136">
        <v>0.72</v>
      </c>
      <c r="CA25" s="136">
        <v>32.4</v>
      </c>
      <c r="CB25" s="142">
        <v>-1.35</v>
      </c>
      <c r="CC25" s="17"/>
      <c r="CF25" s="19"/>
      <c r="CG25" s="18"/>
      <c r="CH25" s="17"/>
      <c r="CK25" s="19"/>
      <c r="CL25" s="18"/>
      <c r="CM25" s="17"/>
      <c r="CP25" s="19"/>
      <c r="CQ25" s="18"/>
      <c r="CR25" s="17"/>
      <c r="CU25" s="19"/>
      <c r="CV25" s="18"/>
      <c r="CZ25" s="19"/>
      <c r="DA25" s="8"/>
      <c r="DB25" s="79" t="s">
        <v>32</v>
      </c>
      <c r="DC25" s="64">
        <f t="shared" si="4"/>
        <v>0.73399999999999999</v>
      </c>
      <c r="DD25" s="25">
        <f t="shared" si="5"/>
        <v>34.346666666666671</v>
      </c>
      <c r="DE25" s="63">
        <f t="shared" si="6"/>
        <v>-1.4280000000000002</v>
      </c>
      <c r="DF25" s="64">
        <f t="shared" si="7"/>
        <v>-1.9073569482288846E-2</v>
      </c>
      <c r="DG25" s="25">
        <f t="shared" si="8"/>
        <v>-5.6677018633540535E-2</v>
      </c>
      <c r="DH25" s="63">
        <f t="shared" si="9"/>
        <v>-5.462184873949584E-2</v>
      </c>
      <c r="DI25" s="64" t="e">
        <f t="shared" si="10"/>
        <v>#DIV/0!</v>
      </c>
      <c r="DJ25" s="25" t="e">
        <f t="shared" si="11"/>
        <v>#DIV/0!</v>
      </c>
      <c r="DK25" s="63" t="e">
        <f t="shared" si="12"/>
        <v>#DIV/0!</v>
      </c>
      <c r="DL25" s="64">
        <f t="shared" si="13"/>
        <v>-0.10000000000000009</v>
      </c>
      <c r="DM25" s="25">
        <f t="shared" si="14"/>
        <v>-5.8139534883720929E-2</v>
      </c>
      <c r="DN25" s="63">
        <f t="shared" si="15"/>
        <v>-9.9999999999999936E-2</v>
      </c>
    </row>
    <row r="26" spans="1:118" x14ac:dyDescent="0.2">
      <c r="A26" s="30" t="s">
        <v>67</v>
      </c>
      <c r="B26" s="93">
        <v>45883</v>
      </c>
      <c r="C26" s="27">
        <v>1.1200000000000001</v>
      </c>
      <c r="D26" s="27">
        <v>48.5</v>
      </c>
      <c r="E26" s="49">
        <v>-1.54</v>
      </c>
      <c r="F26" s="35"/>
      <c r="G26" s="26"/>
      <c r="H26" s="26"/>
      <c r="I26" s="26"/>
      <c r="J26" s="40"/>
      <c r="K26" s="30" t="s">
        <v>67</v>
      </c>
      <c r="L26" s="28">
        <v>45883</v>
      </c>
      <c r="M26" s="27">
        <v>1.1200000000000001</v>
      </c>
      <c r="N26" s="27">
        <v>48.5</v>
      </c>
      <c r="O26" s="49">
        <v>-1.54</v>
      </c>
      <c r="P26" s="30" t="s">
        <v>67</v>
      </c>
      <c r="Q26" s="28">
        <v>45889</v>
      </c>
      <c r="R26" s="27">
        <v>1.1100000000000001</v>
      </c>
      <c r="S26" s="27">
        <v>42.6</v>
      </c>
      <c r="T26" s="49">
        <v>-1.0900000000000001</v>
      </c>
      <c r="U26" s="30" t="s">
        <v>67</v>
      </c>
      <c r="V26" s="28">
        <v>45897</v>
      </c>
      <c r="W26" s="27">
        <v>1.25</v>
      </c>
      <c r="X26" s="27">
        <v>44.3</v>
      </c>
      <c r="Y26" s="49">
        <v>-1.1200000000000001</v>
      </c>
      <c r="Z26" s="30" t="s">
        <v>67</v>
      </c>
      <c r="AA26" s="28">
        <v>45904</v>
      </c>
      <c r="AB26" s="27">
        <v>1.31</v>
      </c>
      <c r="AC26" s="27">
        <v>52.5</v>
      </c>
      <c r="AD26" s="49">
        <v>-1.4</v>
      </c>
      <c r="AE26" s="30" t="s">
        <v>67</v>
      </c>
      <c r="AF26" s="28">
        <v>45918</v>
      </c>
      <c r="AG26" s="27">
        <v>1.26</v>
      </c>
      <c r="AH26" s="27">
        <v>49</v>
      </c>
      <c r="AI26" s="49">
        <v>-1.31</v>
      </c>
      <c r="AJ26" s="30" t="s">
        <v>67</v>
      </c>
      <c r="AK26" s="28">
        <v>45925</v>
      </c>
      <c r="AL26" s="27">
        <v>1.55</v>
      </c>
      <c r="AM26" s="27">
        <v>44.9</v>
      </c>
      <c r="AN26" s="49">
        <v>-1.21</v>
      </c>
      <c r="AO26" s="30" t="s">
        <v>67</v>
      </c>
      <c r="AP26" s="28">
        <v>45932</v>
      </c>
      <c r="AQ26" s="27">
        <v>1.26</v>
      </c>
      <c r="AR26" s="27">
        <v>45.8</v>
      </c>
      <c r="AS26" s="49">
        <v>-1.17</v>
      </c>
      <c r="AT26" s="30" t="s">
        <v>67</v>
      </c>
      <c r="AU26" s="28">
        <v>45939</v>
      </c>
      <c r="AV26" s="27">
        <v>1.22</v>
      </c>
      <c r="AW26" s="27">
        <v>47.8</v>
      </c>
      <c r="AX26" s="49">
        <v>-1.21</v>
      </c>
      <c r="AY26" s="30" t="s">
        <v>67</v>
      </c>
      <c r="AZ26" s="28">
        <v>45946</v>
      </c>
      <c r="BA26" s="27">
        <v>1.26</v>
      </c>
      <c r="BB26" s="27">
        <v>45.7</v>
      </c>
      <c r="BC26" s="49">
        <v>-1.29</v>
      </c>
      <c r="BD26" s="30"/>
      <c r="BE26" s="27"/>
      <c r="BF26" s="27"/>
      <c r="BG26" s="27"/>
      <c r="BH26" s="49"/>
      <c r="BI26" s="121" t="s">
        <v>67</v>
      </c>
      <c r="BJ26" s="117">
        <v>45960</v>
      </c>
      <c r="BK26" s="116">
        <v>1.33</v>
      </c>
      <c r="BL26" s="116">
        <v>48.7</v>
      </c>
      <c r="BM26" s="133">
        <v>-1.32</v>
      </c>
      <c r="BN26" s="30"/>
      <c r="BO26" s="27"/>
      <c r="BP26" s="27"/>
      <c r="BQ26" s="27"/>
      <c r="BR26" s="49"/>
      <c r="BS26" s="30"/>
      <c r="BT26" s="27"/>
      <c r="BU26" s="27"/>
      <c r="BV26" s="27"/>
      <c r="BW26" s="49"/>
      <c r="BX26" s="30"/>
      <c r="BY26" s="27"/>
      <c r="BZ26" s="27"/>
      <c r="CA26" s="27"/>
      <c r="CB26" s="31"/>
      <c r="CC26" s="17"/>
      <c r="CF26" s="19"/>
      <c r="CG26" s="18"/>
      <c r="CH26" s="17"/>
      <c r="CK26" s="19"/>
      <c r="CL26" s="18"/>
      <c r="CM26" s="17"/>
      <c r="CP26" s="19"/>
      <c r="CQ26" s="18"/>
      <c r="CR26" s="17"/>
      <c r="CU26" s="19"/>
      <c r="CV26" s="18"/>
      <c r="CW26" s="17"/>
      <c r="CZ26" s="19"/>
      <c r="DA26" s="8"/>
      <c r="DB26" s="79" t="s">
        <v>67</v>
      </c>
      <c r="DC26" s="64">
        <f t="shared" si="4"/>
        <v>1.2536363636363637</v>
      </c>
      <c r="DD26" s="25">
        <f t="shared" si="5"/>
        <v>47.118181818181817</v>
      </c>
      <c r="DE26" s="63">
        <f t="shared" si="6"/>
        <v>-1.2909090909090908</v>
      </c>
      <c r="DF26" s="64"/>
      <c r="DG26" s="25"/>
      <c r="DH26" s="63"/>
      <c r="DI26" s="64"/>
      <c r="DJ26" s="25"/>
      <c r="DK26" s="63"/>
      <c r="DL26" s="64"/>
      <c r="DM26" s="25"/>
      <c r="DN26" s="63"/>
    </row>
    <row r="27" spans="1:118" x14ac:dyDescent="0.2">
      <c r="A27" s="30" t="s">
        <v>33</v>
      </c>
      <c r="B27" s="28">
        <v>45861</v>
      </c>
      <c r="C27" s="27">
        <v>1.18</v>
      </c>
      <c r="D27" s="27">
        <v>45.5</v>
      </c>
      <c r="E27" s="49">
        <v>-1.46</v>
      </c>
      <c r="F27" s="35"/>
      <c r="G27" s="26"/>
      <c r="H27" s="26"/>
      <c r="I27" s="26"/>
      <c r="J27" s="40"/>
      <c r="K27" s="30" t="s">
        <v>33</v>
      </c>
      <c r="L27" s="28">
        <v>45883</v>
      </c>
      <c r="M27" s="27">
        <v>0.83</v>
      </c>
      <c r="N27" s="27">
        <v>36.5</v>
      </c>
      <c r="O27" s="49">
        <v>-1.31</v>
      </c>
      <c r="P27" s="30" t="s">
        <v>33</v>
      </c>
      <c r="Q27" s="28">
        <v>45889</v>
      </c>
      <c r="R27" s="27">
        <v>0.93</v>
      </c>
      <c r="S27" s="27">
        <v>40</v>
      </c>
      <c r="T27" s="49">
        <v>-1.43</v>
      </c>
      <c r="U27" s="30" t="s">
        <v>33</v>
      </c>
      <c r="V27" s="28">
        <v>45897</v>
      </c>
      <c r="W27" s="27">
        <v>1.03</v>
      </c>
      <c r="X27" s="27">
        <v>41.2</v>
      </c>
      <c r="Y27" s="49">
        <v>-1.34</v>
      </c>
      <c r="Z27" s="30"/>
      <c r="AA27" s="27"/>
      <c r="AB27" s="27"/>
      <c r="AC27" s="27"/>
      <c r="AD27" s="49"/>
      <c r="AE27" s="35"/>
      <c r="AF27" s="26"/>
      <c r="AG27" s="26"/>
      <c r="AH27" s="26"/>
      <c r="AI27" s="40"/>
      <c r="AJ27" s="30"/>
      <c r="AK27" s="27"/>
      <c r="AL27" s="27"/>
      <c r="AM27" s="27"/>
      <c r="AN27" s="49"/>
      <c r="AO27" s="30"/>
      <c r="AP27" s="27"/>
      <c r="AQ27" s="27"/>
      <c r="AR27" s="27"/>
      <c r="AS27" s="49"/>
      <c r="AT27" s="30"/>
      <c r="AU27" s="27"/>
      <c r="AV27" s="27"/>
      <c r="AW27" s="27"/>
      <c r="AX27" s="49"/>
      <c r="AY27" s="30"/>
      <c r="AZ27" s="27"/>
      <c r="BA27" s="27"/>
      <c r="BB27" s="27"/>
      <c r="BC27" s="49"/>
      <c r="BD27" s="30"/>
      <c r="BE27" s="27"/>
      <c r="BF27" s="27"/>
      <c r="BG27" s="27"/>
      <c r="BH27" s="49"/>
      <c r="BI27" s="122"/>
      <c r="BJ27" s="52"/>
      <c r="BK27" s="52"/>
      <c r="BL27" s="52"/>
      <c r="BM27" s="76"/>
      <c r="BN27" s="30"/>
      <c r="BO27" s="27"/>
      <c r="BP27" s="27"/>
      <c r="BQ27" s="27"/>
      <c r="BR27" s="49"/>
      <c r="BS27" s="30"/>
      <c r="BT27" s="27"/>
      <c r="BU27" s="27"/>
      <c r="BV27" s="27"/>
      <c r="BW27" s="49"/>
      <c r="BX27" s="30"/>
      <c r="BY27" s="27"/>
      <c r="BZ27" s="27"/>
      <c r="CA27" s="27"/>
      <c r="CB27" s="31"/>
      <c r="CC27" s="17"/>
      <c r="CF27" s="19"/>
      <c r="CG27" s="18"/>
      <c r="CH27" s="17"/>
      <c r="CK27" s="19"/>
      <c r="CL27" s="18"/>
      <c r="CM27" s="17"/>
      <c r="CP27" s="19"/>
      <c r="CQ27" s="18"/>
      <c r="CR27" s="17"/>
      <c r="CU27" s="19"/>
      <c r="CV27" s="18"/>
      <c r="CW27" s="17"/>
      <c r="CZ27" s="19"/>
      <c r="DA27" s="8"/>
      <c r="DB27" s="79" t="s">
        <v>33</v>
      </c>
      <c r="DC27" s="64">
        <f t="shared" si="4"/>
        <v>0.99249999999999994</v>
      </c>
      <c r="DD27" s="25">
        <f t="shared" si="5"/>
        <v>40.799999999999997</v>
      </c>
      <c r="DE27" s="63">
        <f t="shared" si="6"/>
        <v>-1.385</v>
      </c>
      <c r="DF27" s="64"/>
      <c r="DG27" s="25"/>
      <c r="DH27" s="63"/>
      <c r="DI27" s="64"/>
      <c r="DJ27" s="25"/>
      <c r="DK27" s="63"/>
      <c r="DL27" s="64"/>
      <c r="DM27" s="25"/>
      <c r="DN27" s="63"/>
    </row>
    <row r="28" spans="1:118" x14ac:dyDescent="0.2">
      <c r="A28" s="30" t="s">
        <v>78</v>
      </c>
      <c r="B28" s="28">
        <v>45861</v>
      </c>
      <c r="C28" s="27">
        <v>0.94</v>
      </c>
      <c r="D28" s="27">
        <v>34</v>
      </c>
      <c r="E28" s="49">
        <v>-1.1000000000000001</v>
      </c>
      <c r="F28" s="55" t="s">
        <v>78</v>
      </c>
      <c r="G28" s="51">
        <v>45870</v>
      </c>
      <c r="H28" s="52">
        <v>0.95</v>
      </c>
      <c r="I28" s="52">
        <v>37.9</v>
      </c>
      <c r="J28" s="76">
        <v>-1.1399999999999999</v>
      </c>
      <c r="K28" s="30" t="s">
        <v>78</v>
      </c>
      <c r="L28" s="28">
        <v>45883</v>
      </c>
      <c r="M28" s="27">
        <v>0.72</v>
      </c>
      <c r="N28" s="27">
        <v>32.4</v>
      </c>
      <c r="O28" s="49">
        <v>-1.1299999999999999</v>
      </c>
      <c r="P28" s="30" t="s">
        <v>78</v>
      </c>
      <c r="Q28" s="28">
        <v>45889</v>
      </c>
      <c r="R28" s="27">
        <v>0.75</v>
      </c>
      <c r="S28" s="27">
        <v>30.9</v>
      </c>
      <c r="T28" s="49">
        <v>-1.04</v>
      </c>
      <c r="U28" s="30" t="s">
        <v>78</v>
      </c>
      <c r="V28" s="28">
        <v>45897</v>
      </c>
      <c r="W28" s="27">
        <v>0.65</v>
      </c>
      <c r="X28" s="27">
        <v>25.2</v>
      </c>
      <c r="Y28" s="49">
        <v>-0.9</v>
      </c>
      <c r="Z28" s="30" t="s">
        <v>78</v>
      </c>
      <c r="AA28" s="28">
        <v>45904</v>
      </c>
      <c r="AB28" s="27">
        <v>0.71</v>
      </c>
      <c r="AC28" s="27">
        <v>26.1</v>
      </c>
      <c r="AD28" s="49">
        <v>-0.84</v>
      </c>
      <c r="AE28" s="30" t="s">
        <v>78</v>
      </c>
      <c r="AF28" s="28">
        <v>45918</v>
      </c>
      <c r="AG28" s="27">
        <v>0.55000000000000004</v>
      </c>
      <c r="AH28" s="27">
        <v>25</v>
      </c>
      <c r="AI28" s="49">
        <v>-0.94</v>
      </c>
      <c r="AJ28" s="30" t="s">
        <v>78</v>
      </c>
      <c r="AK28" s="28">
        <v>45925</v>
      </c>
      <c r="AL28" s="27">
        <v>0.72</v>
      </c>
      <c r="AM28" s="27">
        <v>26.5</v>
      </c>
      <c r="AN28" s="49">
        <v>-0.96</v>
      </c>
      <c r="AO28" s="30" t="s">
        <v>78</v>
      </c>
      <c r="AP28" s="28">
        <v>45932</v>
      </c>
      <c r="AQ28" s="27">
        <v>0.88</v>
      </c>
      <c r="AR28" s="27">
        <v>31.7</v>
      </c>
      <c r="AS28" s="49">
        <v>-1.04</v>
      </c>
      <c r="AT28" s="30" t="s">
        <v>78</v>
      </c>
      <c r="AU28" s="28">
        <v>45939</v>
      </c>
      <c r="AV28" s="27">
        <v>0.83</v>
      </c>
      <c r="AW28" s="27">
        <v>30.6</v>
      </c>
      <c r="AX28" s="49">
        <v>-1.08</v>
      </c>
      <c r="AY28" s="30"/>
      <c r="AZ28" s="27"/>
      <c r="BA28" s="27"/>
      <c r="BB28" s="27"/>
      <c r="BC28" s="49"/>
      <c r="BD28" s="30" t="s">
        <v>78</v>
      </c>
      <c r="BE28" s="28">
        <v>45953</v>
      </c>
      <c r="BF28" s="27">
        <v>0.79</v>
      </c>
      <c r="BG28" s="27">
        <v>32.5</v>
      </c>
      <c r="BH28" s="49">
        <v>-1.1399999999999999</v>
      </c>
      <c r="BI28" s="121" t="s">
        <v>78</v>
      </c>
      <c r="BJ28" s="117">
        <v>45960</v>
      </c>
      <c r="BK28" s="116">
        <v>0.8</v>
      </c>
      <c r="BL28" s="116">
        <v>33</v>
      </c>
      <c r="BM28" s="133">
        <v>-1.08</v>
      </c>
      <c r="BN28" s="141" t="s">
        <v>78</v>
      </c>
      <c r="BO28" s="135">
        <v>45967</v>
      </c>
      <c r="BP28" s="136">
        <v>0.86</v>
      </c>
      <c r="BQ28" s="136">
        <v>31.4</v>
      </c>
      <c r="BR28" s="151">
        <v>-1.02</v>
      </c>
      <c r="BS28" s="141" t="s">
        <v>78</v>
      </c>
      <c r="BT28" s="135">
        <v>45974</v>
      </c>
      <c r="BU28" s="136">
        <v>0.83</v>
      </c>
      <c r="BV28" s="136">
        <v>31.9</v>
      </c>
      <c r="BW28" s="151">
        <v>-1.08</v>
      </c>
      <c r="BX28" s="141" t="s">
        <v>78</v>
      </c>
      <c r="BY28" s="135">
        <v>45980</v>
      </c>
      <c r="BZ28" s="136">
        <v>0.98</v>
      </c>
      <c r="CA28" s="136">
        <v>35.299999999999997</v>
      </c>
      <c r="CB28" s="142">
        <v>-1.08</v>
      </c>
      <c r="CC28" s="17"/>
      <c r="CF28" s="19"/>
      <c r="CG28" s="18"/>
      <c r="CH28" s="17"/>
      <c r="CK28" s="19"/>
      <c r="CL28" s="18"/>
      <c r="CM28" s="17"/>
      <c r="CP28" s="19"/>
      <c r="CQ28" s="18"/>
      <c r="CR28" s="17"/>
      <c r="CU28" s="19"/>
      <c r="CV28" s="18"/>
      <c r="CW28" s="17"/>
      <c r="CZ28" s="19"/>
      <c r="DA28" s="8"/>
      <c r="DB28" s="79" t="s">
        <v>78</v>
      </c>
      <c r="DC28" s="64">
        <f t="shared" si="4"/>
        <v>0.79733333333333323</v>
      </c>
      <c r="DD28" s="25">
        <f t="shared" si="5"/>
        <v>30.959999999999997</v>
      </c>
      <c r="DE28" s="63">
        <f t="shared" si="6"/>
        <v>-1.038</v>
      </c>
      <c r="DF28" s="64">
        <f t="shared" si="7"/>
        <v>0.22909698996655534</v>
      </c>
      <c r="DG28" s="25">
        <f t="shared" si="8"/>
        <v>0.14018087855297159</v>
      </c>
      <c r="DH28" s="63">
        <f t="shared" si="9"/>
        <v>4.0462427745664775E-2</v>
      </c>
      <c r="DI28" s="64">
        <f t="shared" si="10"/>
        <v>0.18072289156626509</v>
      </c>
      <c r="DJ28" s="25">
        <f t="shared" si="11"/>
        <v>0.10658307210031344</v>
      </c>
      <c r="DK28" s="63">
        <f t="shared" si="12"/>
        <v>0</v>
      </c>
      <c r="DL28" s="64">
        <f t="shared" si="13"/>
        <v>4.2553191489361743E-2</v>
      </c>
      <c r="DM28" s="25">
        <f t="shared" si="14"/>
        <v>3.8235294117646978E-2</v>
      </c>
      <c r="DN28" s="63">
        <f t="shared" si="15"/>
        <v>-1.8181818181818195E-2</v>
      </c>
    </row>
    <row r="29" spans="1:118" x14ac:dyDescent="0.2">
      <c r="A29" s="30" t="s">
        <v>34</v>
      </c>
      <c r="B29" s="28">
        <v>45861</v>
      </c>
      <c r="C29" s="27">
        <v>0.88</v>
      </c>
      <c r="D29" s="27">
        <v>47.6</v>
      </c>
      <c r="E29" s="49">
        <v>-1.52</v>
      </c>
      <c r="F29" s="55" t="s">
        <v>34</v>
      </c>
      <c r="G29" s="51">
        <v>45870</v>
      </c>
      <c r="H29" s="52">
        <v>0.92</v>
      </c>
      <c r="I29" s="52">
        <v>48.6</v>
      </c>
      <c r="J29" s="76">
        <v>-1.36</v>
      </c>
      <c r="K29" s="30" t="s">
        <v>34</v>
      </c>
      <c r="L29" s="28">
        <v>45883</v>
      </c>
      <c r="M29" s="27">
        <v>0.98</v>
      </c>
      <c r="N29" s="27">
        <v>46.6</v>
      </c>
      <c r="O29" s="49">
        <v>-1.33</v>
      </c>
      <c r="P29" s="30" t="s">
        <v>34</v>
      </c>
      <c r="Q29" s="28">
        <v>45889</v>
      </c>
      <c r="R29" s="27">
        <v>0.98</v>
      </c>
      <c r="S29" s="27">
        <v>46.3</v>
      </c>
      <c r="T29" s="49">
        <v>-1.22</v>
      </c>
      <c r="U29" s="30" t="s">
        <v>34</v>
      </c>
      <c r="V29" s="28">
        <v>45897</v>
      </c>
      <c r="W29" s="27">
        <v>0.89</v>
      </c>
      <c r="X29" s="27">
        <v>45</v>
      </c>
      <c r="Y29" s="49">
        <v>-1.27</v>
      </c>
      <c r="Z29" s="30" t="s">
        <v>34</v>
      </c>
      <c r="AA29" s="28">
        <v>45904</v>
      </c>
      <c r="AB29" s="27">
        <v>0.86</v>
      </c>
      <c r="AC29" s="27">
        <v>41.3</v>
      </c>
      <c r="AD29" s="49">
        <v>-1.05</v>
      </c>
      <c r="AE29" s="30" t="s">
        <v>34</v>
      </c>
      <c r="AF29" s="28">
        <v>45918</v>
      </c>
      <c r="AG29" s="27">
        <v>0.8</v>
      </c>
      <c r="AH29" s="27">
        <v>43.8</v>
      </c>
      <c r="AI29" s="49">
        <v>-1.21</v>
      </c>
      <c r="AJ29" s="30" t="s">
        <v>34</v>
      </c>
      <c r="AK29" s="28">
        <v>45925</v>
      </c>
      <c r="AL29" s="27">
        <v>0.84</v>
      </c>
      <c r="AM29" s="27">
        <v>43.9</v>
      </c>
      <c r="AN29" s="49">
        <v>-1.33</v>
      </c>
      <c r="AO29" s="30" t="s">
        <v>34</v>
      </c>
      <c r="AP29" s="28">
        <v>45932</v>
      </c>
      <c r="AQ29" s="27">
        <v>0.92</v>
      </c>
      <c r="AR29" s="27">
        <v>42.1</v>
      </c>
      <c r="AS29" s="49">
        <v>-1.19</v>
      </c>
      <c r="AT29" s="30" t="s">
        <v>34</v>
      </c>
      <c r="AU29" s="28">
        <v>45939</v>
      </c>
      <c r="AV29" s="27">
        <v>0.89</v>
      </c>
      <c r="AW29" s="27">
        <v>39.9</v>
      </c>
      <c r="AX29" s="49">
        <v>-1.35</v>
      </c>
      <c r="AY29" s="30"/>
      <c r="AZ29" s="27"/>
      <c r="BA29" s="27"/>
      <c r="BB29" s="27"/>
      <c r="BC29" s="49"/>
      <c r="BD29" s="30" t="s">
        <v>34</v>
      </c>
      <c r="BE29" s="28">
        <v>45953</v>
      </c>
      <c r="BF29" s="27">
        <v>0.89</v>
      </c>
      <c r="BG29" s="27">
        <v>36.1</v>
      </c>
      <c r="BH29" s="49">
        <v>-1.1499999999999999</v>
      </c>
      <c r="BI29" s="121" t="s">
        <v>34</v>
      </c>
      <c r="BJ29" s="117">
        <v>45960</v>
      </c>
      <c r="BK29" s="116">
        <v>1.04</v>
      </c>
      <c r="BL29" s="116">
        <v>39.5</v>
      </c>
      <c r="BM29" s="133">
        <v>-1.18</v>
      </c>
      <c r="BN29" s="141" t="s">
        <v>34</v>
      </c>
      <c r="BO29" s="135">
        <v>45967</v>
      </c>
      <c r="BP29" s="136">
        <v>0.94</v>
      </c>
      <c r="BQ29" s="136">
        <v>41.7</v>
      </c>
      <c r="BR29" s="151">
        <v>-1.34</v>
      </c>
      <c r="BS29" s="141" t="s">
        <v>34</v>
      </c>
      <c r="BT29" s="135">
        <v>45974</v>
      </c>
      <c r="BU29" s="136">
        <v>0.92</v>
      </c>
      <c r="BV29" s="136">
        <v>37.299999999999997</v>
      </c>
      <c r="BW29" s="151">
        <v>-1.17</v>
      </c>
      <c r="BX29" s="141" t="s">
        <v>34</v>
      </c>
      <c r="BY29" s="135">
        <v>45981</v>
      </c>
      <c r="BZ29" s="136">
        <v>1.04</v>
      </c>
      <c r="CA29" s="136">
        <v>40.799999999999997</v>
      </c>
      <c r="CB29" s="142">
        <v>-1.1499999999999999</v>
      </c>
      <c r="CC29" s="17"/>
      <c r="CF29" s="19"/>
      <c r="CG29" s="18"/>
      <c r="CH29" s="17"/>
      <c r="CK29" s="19"/>
      <c r="CL29" s="18"/>
      <c r="CM29" s="17"/>
      <c r="CP29" s="19"/>
      <c r="CQ29" s="18"/>
      <c r="CR29" s="17"/>
      <c r="CU29" s="19"/>
      <c r="CV29" s="18"/>
      <c r="CW29" s="17"/>
      <c r="CZ29" s="19"/>
      <c r="DA29" s="8"/>
      <c r="DB29" s="79" t="s">
        <v>34</v>
      </c>
      <c r="DC29" s="64">
        <f t="shared" si="4"/>
        <v>0.91933333333333322</v>
      </c>
      <c r="DD29" s="25">
        <f t="shared" si="5"/>
        <v>42.7</v>
      </c>
      <c r="DE29" s="63">
        <f t="shared" si="6"/>
        <v>-1.2546666666666666</v>
      </c>
      <c r="DF29" s="64">
        <f t="shared" si="7"/>
        <v>0.13125453226976086</v>
      </c>
      <c r="DG29" s="25">
        <f t="shared" si="8"/>
        <v>-4.4496487119438072E-2</v>
      </c>
      <c r="DH29" s="63">
        <f t="shared" si="9"/>
        <v>-8.3421891604675891E-2</v>
      </c>
      <c r="DI29" s="64">
        <f t="shared" si="10"/>
        <v>0.13043478260869565</v>
      </c>
      <c r="DJ29" s="25">
        <f t="shared" si="11"/>
        <v>9.3833780160857916E-2</v>
      </c>
      <c r="DK29" s="63">
        <f t="shared" si="12"/>
        <v>-1.709401709401711E-2</v>
      </c>
      <c r="DL29" s="64">
        <f t="shared" si="13"/>
        <v>0.18181818181818185</v>
      </c>
      <c r="DM29" s="25">
        <f t="shared" si="14"/>
        <v>-0.14285714285714293</v>
      </c>
      <c r="DN29" s="63">
        <f t="shared" si="15"/>
        <v>-0.24342105263157901</v>
      </c>
    </row>
    <row r="30" spans="1:118" x14ac:dyDescent="0.2">
      <c r="A30" s="30"/>
      <c r="B30" s="28"/>
      <c r="C30" s="27"/>
      <c r="D30" s="27"/>
      <c r="E30" s="49"/>
      <c r="F30" s="55"/>
      <c r="G30" s="51"/>
      <c r="H30" s="52"/>
      <c r="I30" s="52"/>
      <c r="J30" s="76"/>
      <c r="K30" s="30"/>
      <c r="L30" s="28"/>
      <c r="M30" s="27"/>
      <c r="N30" s="27"/>
      <c r="O30" s="49"/>
      <c r="P30" s="30"/>
      <c r="Q30" s="28"/>
      <c r="R30" s="27"/>
      <c r="S30" s="27"/>
      <c r="T30" s="49"/>
      <c r="U30" s="30"/>
      <c r="V30" s="28"/>
      <c r="W30" s="27"/>
      <c r="X30" s="27"/>
      <c r="Y30" s="49"/>
      <c r="Z30" s="30"/>
      <c r="AA30" s="28"/>
      <c r="AB30" s="27"/>
      <c r="AC30" s="27"/>
      <c r="AD30" s="49"/>
      <c r="AE30" s="30"/>
      <c r="AF30" s="28"/>
      <c r="AG30" s="27"/>
      <c r="AH30" s="27"/>
      <c r="AI30" s="49"/>
      <c r="AJ30" s="30"/>
      <c r="AK30" s="28"/>
      <c r="AL30" s="27"/>
      <c r="AM30" s="27"/>
      <c r="AN30" s="49"/>
      <c r="AO30" s="30" t="s">
        <v>80</v>
      </c>
      <c r="AP30" s="28">
        <v>45932</v>
      </c>
      <c r="AQ30" s="27">
        <v>0.72</v>
      </c>
      <c r="AR30" s="27">
        <v>35.9</v>
      </c>
      <c r="AS30" s="49">
        <v>-1.22</v>
      </c>
      <c r="AT30" s="30" t="s">
        <v>80</v>
      </c>
      <c r="AU30" s="28">
        <v>45939</v>
      </c>
      <c r="AV30" s="27">
        <v>0.76</v>
      </c>
      <c r="AW30" s="27">
        <v>34.6</v>
      </c>
      <c r="AX30" s="49">
        <v>-1.29</v>
      </c>
      <c r="AY30" s="30"/>
      <c r="AZ30" s="27"/>
      <c r="BA30" s="27"/>
      <c r="BB30" s="27"/>
      <c r="BC30" s="49"/>
      <c r="BD30" s="30" t="s">
        <v>80</v>
      </c>
      <c r="BE30" s="28">
        <v>45953</v>
      </c>
      <c r="BF30" s="27">
        <v>0.55000000000000004</v>
      </c>
      <c r="BG30" s="27">
        <v>29.7</v>
      </c>
      <c r="BH30" s="49">
        <v>-1.24</v>
      </c>
      <c r="BI30" s="121" t="s">
        <v>80</v>
      </c>
      <c r="BJ30" s="117">
        <v>45960</v>
      </c>
      <c r="BK30" s="116">
        <v>0.51</v>
      </c>
      <c r="BL30" s="116">
        <v>27</v>
      </c>
      <c r="BM30" s="133">
        <v>-1.21</v>
      </c>
      <c r="BN30" s="141" t="s">
        <v>80</v>
      </c>
      <c r="BO30" s="135">
        <v>45967</v>
      </c>
      <c r="BP30" s="136">
        <v>0.6</v>
      </c>
      <c r="BQ30" s="136">
        <v>28.1</v>
      </c>
      <c r="BR30" s="151">
        <v>-1.23</v>
      </c>
      <c r="BS30" s="141" t="s">
        <v>80</v>
      </c>
      <c r="BT30" s="135">
        <v>45974</v>
      </c>
      <c r="BU30" s="136">
        <v>0.7</v>
      </c>
      <c r="BV30" s="136">
        <v>34</v>
      </c>
      <c r="BW30" s="151">
        <v>-1.23</v>
      </c>
      <c r="BX30" s="141" t="s">
        <v>80</v>
      </c>
      <c r="BY30" s="135">
        <v>45981</v>
      </c>
      <c r="BZ30" s="136">
        <v>0.76</v>
      </c>
      <c r="CA30" s="136">
        <v>36</v>
      </c>
      <c r="CB30" s="142">
        <v>-1.08</v>
      </c>
      <c r="CC30" s="17"/>
      <c r="CF30" s="19"/>
      <c r="CG30" s="18"/>
      <c r="CH30" s="17"/>
      <c r="CK30" s="19"/>
      <c r="CL30" s="18"/>
      <c r="CM30" s="17"/>
      <c r="CP30" s="19"/>
      <c r="CQ30" s="18"/>
      <c r="CR30" s="17"/>
      <c r="CU30" s="19"/>
      <c r="CV30" s="18"/>
      <c r="CW30" s="17"/>
      <c r="CZ30" s="19"/>
      <c r="DA30" s="8"/>
      <c r="DB30" s="79" t="s">
        <v>80</v>
      </c>
      <c r="DC30" s="64">
        <f t="shared" si="4"/>
        <v>0.65714285714285714</v>
      </c>
      <c r="DD30" s="25">
        <f t="shared" si="5"/>
        <v>32.18571428571429</v>
      </c>
      <c r="DE30" s="63">
        <f t="shared" si="6"/>
        <v>-1.2142857142857142</v>
      </c>
      <c r="DF30" s="64">
        <f t="shared" si="7"/>
        <v>0.15652173913043479</v>
      </c>
      <c r="DG30" s="25">
        <f t="shared" si="8"/>
        <v>0.11850865512649784</v>
      </c>
      <c r="DH30" s="63">
        <f t="shared" si="9"/>
        <v>-0.11058823529411752</v>
      </c>
      <c r="DI30" s="64">
        <f t="shared" si="10"/>
        <v>8.5714285714285798E-2</v>
      </c>
      <c r="DJ30" s="25">
        <f t="shared" si="11"/>
        <v>5.8823529411764705E-2</v>
      </c>
      <c r="DK30" s="63">
        <f t="shared" si="12"/>
        <v>-0.12195121951219505</v>
      </c>
      <c r="DL30" s="64" t="e">
        <f t="shared" si="13"/>
        <v>#DIV/0!</v>
      </c>
      <c r="DM30" s="25" t="e">
        <f t="shared" si="14"/>
        <v>#DIV/0!</v>
      </c>
      <c r="DN30" s="63" t="e">
        <f t="shared" si="15"/>
        <v>#DIV/0!</v>
      </c>
    </row>
    <row r="31" spans="1:118" x14ac:dyDescent="0.2">
      <c r="A31" s="30" t="s">
        <v>35</v>
      </c>
      <c r="B31" s="28">
        <v>45861</v>
      </c>
      <c r="C31" s="27">
        <v>0.88</v>
      </c>
      <c r="D31" s="27">
        <v>44.1</v>
      </c>
      <c r="E31" s="49">
        <v>-1.41</v>
      </c>
      <c r="F31" s="55" t="s">
        <v>35</v>
      </c>
      <c r="G31" s="51">
        <v>45870</v>
      </c>
      <c r="H31" s="52">
        <v>1.01</v>
      </c>
      <c r="I31" s="52">
        <v>42.7</v>
      </c>
      <c r="J31" s="76">
        <v>-1.07</v>
      </c>
      <c r="K31" s="30" t="s">
        <v>35</v>
      </c>
      <c r="L31" s="28">
        <v>45883</v>
      </c>
      <c r="M31" s="27">
        <v>0.97</v>
      </c>
      <c r="N31" s="27">
        <v>41.2</v>
      </c>
      <c r="O31" s="49">
        <v>-1.1100000000000001</v>
      </c>
      <c r="P31" s="30" t="s">
        <v>35</v>
      </c>
      <c r="Q31" s="28">
        <v>45889</v>
      </c>
      <c r="R31" s="27">
        <v>0.98</v>
      </c>
      <c r="S31" s="27">
        <v>42.7</v>
      </c>
      <c r="T31" s="49">
        <v>-1.1599999999999999</v>
      </c>
      <c r="U31" s="30" t="s">
        <v>35</v>
      </c>
      <c r="V31" s="28">
        <v>45897</v>
      </c>
      <c r="W31" s="27">
        <v>0.97</v>
      </c>
      <c r="X31" s="27">
        <v>42.9</v>
      </c>
      <c r="Y31" s="49">
        <v>-1.1100000000000001</v>
      </c>
      <c r="Z31" s="30" t="s">
        <v>35</v>
      </c>
      <c r="AA31" s="28">
        <v>45904</v>
      </c>
      <c r="AB31" s="27">
        <v>0.92</v>
      </c>
      <c r="AC31" s="27">
        <v>42.1</v>
      </c>
      <c r="AD31" s="49">
        <v>-1.22</v>
      </c>
      <c r="AE31" s="35"/>
      <c r="AF31" s="26"/>
      <c r="AG31" s="26"/>
      <c r="AH31" s="26"/>
      <c r="AI31" s="40"/>
      <c r="AJ31" s="30"/>
      <c r="AK31" s="27"/>
      <c r="AL31" s="27"/>
      <c r="AM31" s="27"/>
      <c r="AN31" s="49"/>
      <c r="AO31" s="30"/>
      <c r="AP31" s="27"/>
      <c r="AQ31" s="27"/>
      <c r="AR31" s="27"/>
      <c r="AS31" s="49"/>
      <c r="AT31" s="30"/>
      <c r="AU31" s="27"/>
      <c r="AV31" s="27"/>
      <c r="AW31" s="27"/>
      <c r="AX31" s="49"/>
      <c r="AY31" s="30"/>
      <c r="AZ31" s="27"/>
      <c r="BA31" s="27"/>
      <c r="BB31" s="27"/>
      <c r="BC31" s="49"/>
      <c r="BD31" s="30"/>
      <c r="BE31" s="27"/>
      <c r="BF31" s="27"/>
      <c r="BG31" s="27"/>
      <c r="BH31" s="49"/>
      <c r="BI31" s="122"/>
      <c r="BJ31" s="52"/>
      <c r="BK31" s="52"/>
      <c r="BL31" s="52"/>
      <c r="BM31" s="76"/>
      <c r="BN31" s="30"/>
      <c r="BO31" s="27"/>
      <c r="BP31" s="27"/>
      <c r="BQ31" s="27"/>
      <c r="BR31" s="49"/>
      <c r="BS31" s="30"/>
      <c r="BT31" s="27"/>
      <c r="BU31" s="27"/>
      <c r="BV31" s="27"/>
      <c r="BW31" s="49"/>
      <c r="BX31" s="30"/>
      <c r="BY31" s="27"/>
      <c r="BZ31" s="27"/>
      <c r="CA31" s="27"/>
      <c r="CB31" s="31"/>
      <c r="CC31" s="17"/>
      <c r="CF31" s="19"/>
      <c r="CG31" s="18"/>
      <c r="CH31" s="17"/>
      <c r="CK31" s="19"/>
      <c r="CL31" s="18"/>
      <c r="CM31" s="17"/>
      <c r="CP31" s="19"/>
      <c r="CQ31" s="18"/>
      <c r="CR31" s="17"/>
      <c r="CU31" s="19"/>
      <c r="CV31" s="18"/>
      <c r="CW31" s="17"/>
      <c r="CZ31" s="19"/>
      <c r="DA31" s="8"/>
      <c r="DB31" s="79" t="s">
        <v>35</v>
      </c>
      <c r="DC31" s="64">
        <f t="shared" si="4"/>
        <v>0.95500000000000007</v>
      </c>
      <c r="DD31" s="25">
        <f t="shared" si="5"/>
        <v>42.616666666666667</v>
      </c>
      <c r="DE31" s="63">
        <f t="shared" si="6"/>
        <v>-1.18</v>
      </c>
      <c r="DF31" s="64"/>
      <c r="DG31" s="25"/>
      <c r="DH31" s="63"/>
      <c r="DI31" s="64"/>
      <c r="DJ31" s="25"/>
      <c r="DK31" s="63"/>
      <c r="DL31" s="64"/>
      <c r="DM31" s="25"/>
      <c r="DN31" s="63"/>
    </row>
    <row r="32" spans="1:118" x14ac:dyDescent="0.2">
      <c r="A32" s="30" t="s">
        <v>36</v>
      </c>
      <c r="B32" s="28">
        <v>45861</v>
      </c>
      <c r="C32" s="27">
        <v>1.21</v>
      </c>
      <c r="D32" s="27">
        <v>43.9</v>
      </c>
      <c r="E32" s="49">
        <v>-1.1499999999999999</v>
      </c>
      <c r="F32" s="55" t="s">
        <v>36</v>
      </c>
      <c r="G32" s="51">
        <v>45870</v>
      </c>
      <c r="H32" s="52">
        <v>1.1399999999999999</v>
      </c>
      <c r="I32" s="52">
        <v>42</v>
      </c>
      <c r="J32" s="76">
        <v>-1.19</v>
      </c>
      <c r="K32" s="30" t="s">
        <v>36</v>
      </c>
      <c r="L32" s="28">
        <v>45883</v>
      </c>
      <c r="M32" s="27">
        <v>1.24</v>
      </c>
      <c r="N32" s="27">
        <v>42</v>
      </c>
      <c r="O32" s="49">
        <v>-1.1399999999999999</v>
      </c>
      <c r="P32" s="30" t="s">
        <v>36</v>
      </c>
      <c r="Q32" s="28">
        <v>45889</v>
      </c>
      <c r="R32" s="27">
        <v>1.21</v>
      </c>
      <c r="S32" s="27">
        <v>45.5</v>
      </c>
      <c r="T32" s="49">
        <v>-1.2</v>
      </c>
      <c r="U32" s="30" t="s">
        <v>36</v>
      </c>
      <c r="V32" s="28">
        <v>45897</v>
      </c>
      <c r="W32" s="27">
        <v>1.19</v>
      </c>
      <c r="X32" s="27">
        <v>44.1</v>
      </c>
      <c r="Y32" s="49">
        <v>-1.21</v>
      </c>
      <c r="Z32" s="30" t="s">
        <v>36</v>
      </c>
      <c r="AA32" s="28">
        <v>45904</v>
      </c>
      <c r="AB32" s="27">
        <v>1.19</v>
      </c>
      <c r="AC32" s="27">
        <v>44.5</v>
      </c>
      <c r="AD32" s="49">
        <v>-1.1299999999999999</v>
      </c>
      <c r="AE32" s="30" t="s">
        <v>36</v>
      </c>
      <c r="AF32" s="28">
        <v>45918</v>
      </c>
      <c r="AG32" s="27">
        <v>1.08</v>
      </c>
      <c r="AH32" s="27">
        <v>42.6</v>
      </c>
      <c r="AI32" s="49">
        <v>-1.05</v>
      </c>
      <c r="AJ32" s="30" t="s">
        <v>36</v>
      </c>
      <c r="AK32" s="28">
        <v>45925</v>
      </c>
      <c r="AL32" s="27">
        <v>1.02</v>
      </c>
      <c r="AM32" s="27">
        <v>42.9</v>
      </c>
      <c r="AN32" s="49">
        <v>-1.2</v>
      </c>
      <c r="AO32" s="30"/>
      <c r="AP32" s="27"/>
      <c r="AQ32" s="27"/>
      <c r="AR32" s="27"/>
      <c r="AS32" s="49"/>
      <c r="AT32" s="30"/>
      <c r="AU32" s="27"/>
      <c r="AV32" s="27"/>
      <c r="AW32" s="27"/>
      <c r="AX32" s="49"/>
      <c r="AY32" s="30"/>
      <c r="AZ32" s="27"/>
      <c r="BA32" s="27"/>
      <c r="BB32" s="27"/>
      <c r="BC32" s="49"/>
      <c r="BD32" s="30"/>
      <c r="BE32" s="27"/>
      <c r="BF32" s="27"/>
      <c r="BG32" s="27"/>
      <c r="BH32" s="49"/>
      <c r="BI32" s="122"/>
      <c r="BJ32" s="52"/>
      <c r="BK32" s="52"/>
      <c r="BL32" s="52"/>
      <c r="BM32" s="76"/>
      <c r="BN32" s="30"/>
      <c r="BO32" s="27"/>
      <c r="BP32" s="27"/>
      <c r="BQ32" s="27"/>
      <c r="BR32" s="49"/>
      <c r="BS32" s="30"/>
      <c r="BT32" s="27"/>
      <c r="BU32" s="27"/>
      <c r="BV32" s="27"/>
      <c r="BW32" s="49"/>
      <c r="BX32" s="30"/>
      <c r="BY32" s="27"/>
      <c r="BZ32" s="27"/>
      <c r="CA32" s="27"/>
      <c r="CB32" s="31"/>
      <c r="CC32" s="17"/>
      <c r="CF32" s="19"/>
      <c r="CG32" s="18"/>
      <c r="CH32" s="17"/>
      <c r="CK32" s="19"/>
      <c r="CL32" s="18"/>
      <c r="CM32" s="17"/>
      <c r="CP32" s="19"/>
      <c r="CQ32" s="18"/>
      <c r="CR32" s="17"/>
      <c r="CU32" s="19"/>
      <c r="CV32" s="18"/>
      <c r="CW32" s="17"/>
      <c r="CZ32" s="19"/>
      <c r="DA32" s="8"/>
      <c r="DB32" s="79" t="s">
        <v>36</v>
      </c>
      <c r="DC32" s="64">
        <f t="shared" si="4"/>
        <v>1.1599999999999999</v>
      </c>
      <c r="DD32" s="25">
        <f t="shared" si="5"/>
        <v>43.4375</v>
      </c>
      <c r="DE32" s="63">
        <f t="shared" si="6"/>
        <v>-1.1587499999999999</v>
      </c>
      <c r="DF32" s="64"/>
      <c r="DG32" s="25"/>
      <c r="DH32" s="63"/>
      <c r="DI32" s="64"/>
      <c r="DJ32" s="25"/>
      <c r="DK32" s="63"/>
      <c r="DL32" s="64"/>
      <c r="DM32" s="25"/>
      <c r="DN32" s="63"/>
    </row>
    <row r="33" spans="1:118" x14ac:dyDescent="0.2">
      <c r="A33" s="30" t="s">
        <v>37</v>
      </c>
      <c r="B33" s="28">
        <v>45861</v>
      </c>
      <c r="C33" s="27">
        <v>0.5</v>
      </c>
      <c r="D33" s="27">
        <v>33.700000000000003</v>
      </c>
      <c r="E33" s="49">
        <v>-1.27</v>
      </c>
      <c r="F33" s="55" t="s">
        <v>37</v>
      </c>
      <c r="G33" s="51">
        <v>45870</v>
      </c>
      <c r="H33" s="52">
        <v>0.6</v>
      </c>
      <c r="I33" s="52">
        <v>36.700000000000003</v>
      </c>
      <c r="J33" s="76">
        <v>-1.33</v>
      </c>
      <c r="K33" s="30" t="s">
        <v>37</v>
      </c>
      <c r="L33" s="28">
        <v>45883</v>
      </c>
      <c r="M33" s="27">
        <v>0.64</v>
      </c>
      <c r="N33" s="27">
        <v>36.9</v>
      </c>
      <c r="O33" s="49">
        <v>-1.36</v>
      </c>
      <c r="P33" s="30" t="s">
        <v>37</v>
      </c>
      <c r="Q33" s="28">
        <v>45889</v>
      </c>
      <c r="R33" s="27">
        <v>0.59</v>
      </c>
      <c r="S33" s="27">
        <v>32</v>
      </c>
      <c r="T33" s="49">
        <v>-1.19</v>
      </c>
      <c r="U33" s="30" t="s">
        <v>37</v>
      </c>
      <c r="V33" s="28">
        <v>45897</v>
      </c>
      <c r="W33" s="27">
        <v>0.59</v>
      </c>
      <c r="X33" s="27">
        <v>31.1</v>
      </c>
      <c r="Y33" s="49">
        <v>-1.21</v>
      </c>
      <c r="Z33" s="30" t="s">
        <v>37</v>
      </c>
      <c r="AA33" s="28">
        <v>45904</v>
      </c>
      <c r="AB33" s="27">
        <v>0.54</v>
      </c>
      <c r="AC33" s="27">
        <v>30.8</v>
      </c>
      <c r="AD33" s="49">
        <v>-1.19</v>
      </c>
      <c r="AE33" s="30" t="s">
        <v>37</v>
      </c>
      <c r="AF33" s="28">
        <v>45918</v>
      </c>
      <c r="AG33" s="27">
        <v>0.51</v>
      </c>
      <c r="AH33" s="27">
        <v>30.6</v>
      </c>
      <c r="AI33" s="49">
        <v>-1.19</v>
      </c>
      <c r="AJ33" s="30" t="s">
        <v>37</v>
      </c>
      <c r="AK33" s="28">
        <v>45925</v>
      </c>
      <c r="AL33" s="27">
        <v>0.61</v>
      </c>
      <c r="AM33" s="27">
        <v>31</v>
      </c>
      <c r="AN33" s="49">
        <v>-1.26</v>
      </c>
      <c r="AO33" s="30" t="s">
        <v>37</v>
      </c>
      <c r="AP33" s="28">
        <v>45932</v>
      </c>
      <c r="AQ33" s="27">
        <v>0.56000000000000005</v>
      </c>
      <c r="AR33" s="27">
        <v>31.4</v>
      </c>
      <c r="AS33" s="49">
        <v>-1.25</v>
      </c>
      <c r="AT33" s="30" t="s">
        <v>37</v>
      </c>
      <c r="AU33" s="28">
        <v>45939</v>
      </c>
      <c r="AV33" s="27">
        <v>0.56999999999999995</v>
      </c>
      <c r="AW33" s="27">
        <v>34.799999999999997</v>
      </c>
      <c r="AX33" s="49">
        <v>-1.34</v>
      </c>
      <c r="AY33" s="30" t="s">
        <v>37</v>
      </c>
      <c r="AZ33" s="28">
        <v>45946</v>
      </c>
      <c r="BA33" s="27">
        <v>0.56999999999999995</v>
      </c>
      <c r="BB33" s="27">
        <v>32.200000000000003</v>
      </c>
      <c r="BC33" s="49">
        <v>-1.3</v>
      </c>
      <c r="BD33" s="30" t="s">
        <v>37</v>
      </c>
      <c r="BE33" s="28">
        <v>45953</v>
      </c>
      <c r="BF33" s="27">
        <v>0.55000000000000004</v>
      </c>
      <c r="BG33" s="27">
        <v>33.299999999999997</v>
      </c>
      <c r="BH33" s="49">
        <v>-1.32</v>
      </c>
      <c r="BI33" s="121" t="s">
        <v>37</v>
      </c>
      <c r="BJ33" s="117">
        <v>45960</v>
      </c>
      <c r="BK33" s="116">
        <v>0.64</v>
      </c>
      <c r="BL33" s="116">
        <v>34.4</v>
      </c>
      <c r="BM33" s="133">
        <v>-1.4</v>
      </c>
      <c r="BN33" s="141" t="s">
        <v>37</v>
      </c>
      <c r="BO33" s="135">
        <v>45967</v>
      </c>
      <c r="BP33" s="136">
        <v>0.57999999999999996</v>
      </c>
      <c r="BQ33" s="136">
        <v>35.799999999999997</v>
      </c>
      <c r="BR33" s="151">
        <v>-1.27</v>
      </c>
      <c r="BS33" s="141" t="s">
        <v>37</v>
      </c>
      <c r="BT33" s="135">
        <v>45974</v>
      </c>
      <c r="BU33" s="136">
        <v>0.63</v>
      </c>
      <c r="BV33" s="136">
        <v>36</v>
      </c>
      <c r="BW33" s="151">
        <v>-1.42</v>
      </c>
      <c r="BX33" s="30"/>
      <c r="BY33" s="27"/>
      <c r="BZ33" s="27"/>
      <c r="CA33" s="27"/>
      <c r="CB33" s="31"/>
      <c r="CC33" s="17"/>
      <c r="CF33" s="19"/>
      <c r="CG33" s="18"/>
      <c r="CH33" s="17"/>
      <c r="CK33" s="19"/>
      <c r="CL33" s="18"/>
      <c r="CM33" s="17"/>
      <c r="CP33" s="19"/>
      <c r="CQ33" s="18"/>
      <c r="CR33" s="17"/>
      <c r="CU33" s="19"/>
      <c r="CV33" s="18"/>
      <c r="CW33" s="17"/>
      <c r="CZ33" s="19"/>
      <c r="DA33" s="8"/>
      <c r="DB33" s="79" t="s">
        <v>37</v>
      </c>
      <c r="DC33" s="64">
        <f t="shared" si="4"/>
        <v>0.57866666666666677</v>
      </c>
      <c r="DD33" s="25">
        <f t="shared" si="5"/>
        <v>33.380000000000003</v>
      </c>
      <c r="DE33" s="63">
        <f t="shared" si="6"/>
        <v>-1.2866666666666664</v>
      </c>
      <c r="DF33" s="64"/>
      <c r="DG33" s="25"/>
      <c r="DH33" s="63"/>
      <c r="DI33" s="64"/>
      <c r="DJ33" s="25"/>
      <c r="DK33" s="63"/>
      <c r="DL33" s="64"/>
      <c r="DM33" s="25"/>
      <c r="DN33" s="63"/>
    </row>
    <row r="34" spans="1:118" x14ac:dyDescent="0.2">
      <c r="A34" s="30" t="s">
        <v>38</v>
      </c>
      <c r="B34" s="28">
        <v>45861</v>
      </c>
      <c r="C34" s="27">
        <v>1.03</v>
      </c>
      <c r="D34" s="27">
        <v>44.2</v>
      </c>
      <c r="E34" s="49">
        <v>-1.46</v>
      </c>
      <c r="F34" s="55" t="s">
        <v>38</v>
      </c>
      <c r="G34" s="51">
        <v>45870</v>
      </c>
      <c r="H34" s="52">
        <v>0.94</v>
      </c>
      <c r="I34" s="52">
        <v>42.5</v>
      </c>
      <c r="J34" s="76">
        <v>-1.46</v>
      </c>
      <c r="K34" s="30" t="s">
        <v>38</v>
      </c>
      <c r="L34" s="28">
        <v>45883</v>
      </c>
      <c r="M34" s="27">
        <v>0.9</v>
      </c>
      <c r="N34" s="27">
        <v>42.1</v>
      </c>
      <c r="O34" s="49">
        <v>-1.42</v>
      </c>
      <c r="P34" s="30" t="s">
        <v>38</v>
      </c>
      <c r="Q34" s="28">
        <v>45889</v>
      </c>
      <c r="R34" s="27">
        <v>0.99</v>
      </c>
      <c r="S34" s="27">
        <v>44.3</v>
      </c>
      <c r="T34" s="49">
        <v>-1.41</v>
      </c>
      <c r="U34" s="30" t="s">
        <v>38</v>
      </c>
      <c r="V34" s="28">
        <v>45897</v>
      </c>
      <c r="W34" s="27">
        <v>1.01</v>
      </c>
      <c r="X34" s="27">
        <v>43.5</v>
      </c>
      <c r="Y34" s="49">
        <v>-1.35</v>
      </c>
      <c r="Z34" s="30" t="s">
        <v>38</v>
      </c>
      <c r="AA34" s="28">
        <v>45904</v>
      </c>
      <c r="AB34" s="27">
        <v>0.94</v>
      </c>
      <c r="AC34" s="27">
        <v>43.9</v>
      </c>
      <c r="AD34" s="49">
        <v>-1.42</v>
      </c>
      <c r="AE34" s="30" t="s">
        <v>38</v>
      </c>
      <c r="AF34" s="28">
        <v>45918</v>
      </c>
      <c r="AG34" s="27">
        <v>0.86</v>
      </c>
      <c r="AH34" s="27">
        <v>44</v>
      </c>
      <c r="AI34" s="49">
        <v>-1.37</v>
      </c>
      <c r="AJ34" s="30"/>
      <c r="AK34" s="27"/>
      <c r="AL34" s="27"/>
      <c r="AM34" s="27"/>
      <c r="AN34" s="49"/>
      <c r="AO34" s="30" t="s">
        <v>38</v>
      </c>
      <c r="AP34" s="28">
        <v>45932</v>
      </c>
      <c r="AQ34" s="27">
        <v>0.81</v>
      </c>
      <c r="AR34" s="27">
        <v>42</v>
      </c>
      <c r="AS34" s="49">
        <v>-1.32</v>
      </c>
      <c r="AT34" s="30" t="s">
        <v>38</v>
      </c>
      <c r="AU34" s="28">
        <v>45939</v>
      </c>
      <c r="AV34" s="27">
        <v>0.86</v>
      </c>
      <c r="AW34" s="27">
        <v>42.8</v>
      </c>
      <c r="AX34" s="49">
        <v>-1.38</v>
      </c>
      <c r="AY34" s="30" t="s">
        <v>38</v>
      </c>
      <c r="AZ34" s="28">
        <v>45946</v>
      </c>
      <c r="BA34" s="27">
        <v>1</v>
      </c>
      <c r="BB34" s="27">
        <v>43.5</v>
      </c>
      <c r="BC34" s="49">
        <v>-1.41</v>
      </c>
      <c r="BD34" s="30" t="s">
        <v>38</v>
      </c>
      <c r="BE34" s="28">
        <v>45953</v>
      </c>
      <c r="BF34" s="27">
        <v>0.86</v>
      </c>
      <c r="BG34" s="27">
        <v>40.5</v>
      </c>
      <c r="BH34" s="49">
        <v>-1.39</v>
      </c>
      <c r="BI34" s="121" t="s">
        <v>38</v>
      </c>
      <c r="BJ34" s="117">
        <v>45960</v>
      </c>
      <c r="BK34" s="116">
        <v>0.92</v>
      </c>
      <c r="BL34" s="116">
        <v>40.299999999999997</v>
      </c>
      <c r="BM34" s="133">
        <v>-1.28</v>
      </c>
      <c r="BN34" s="129" t="s">
        <v>38</v>
      </c>
      <c r="BO34" s="135">
        <v>45967</v>
      </c>
      <c r="BP34" s="27">
        <v>1.02</v>
      </c>
      <c r="BQ34" s="27">
        <v>44.4</v>
      </c>
      <c r="BR34" s="49">
        <v>-1.36</v>
      </c>
      <c r="BS34" s="141" t="s">
        <v>38</v>
      </c>
      <c r="BT34" s="135">
        <v>45974</v>
      </c>
      <c r="BU34" s="136">
        <v>0.94</v>
      </c>
      <c r="BV34" s="136">
        <v>40.700000000000003</v>
      </c>
      <c r="BW34" s="151">
        <v>-1.1299999999999999</v>
      </c>
      <c r="BX34" s="141" t="s">
        <v>38</v>
      </c>
      <c r="BY34" s="135">
        <v>45981</v>
      </c>
      <c r="BZ34" s="136">
        <v>1.07</v>
      </c>
      <c r="CA34" s="136">
        <v>41.6</v>
      </c>
      <c r="CB34" s="142">
        <v>-1.27</v>
      </c>
      <c r="CF34" s="19"/>
      <c r="CG34" s="18"/>
      <c r="CK34" s="19"/>
      <c r="CL34" s="18"/>
      <c r="CP34" s="19"/>
      <c r="CQ34" s="18"/>
      <c r="CU34" s="19"/>
      <c r="CV34" s="18"/>
      <c r="CZ34" s="19"/>
      <c r="DA34" s="8"/>
      <c r="DB34" s="79" t="s">
        <v>38</v>
      </c>
      <c r="DC34" s="64">
        <f t="shared" si="4"/>
        <v>0.94333333333333325</v>
      </c>
      <c r="DD34" s="25">
        <f t="shared" si="5"/>
        <v>42.686666666666675</v>
      </c>
      <c r="DE34" s="63">
        <f t="shared" si="6"/>
        <v>-1.3619999999999999</v>
      </c>
      <c r="DF34" s="64">
        <f t="shared" si="7"/>
        <v>0.13427561837455848</v>
      </c>
      <c r="DG34" s="25">
        <f t="shared" si="8"/>
        <v>-2.5456817116976563E-2</v>
      </c>
      <c r="DH34" s="63">
        <f t="shared" si="9"/>
        <v>-6.7547723935389034E-2</v>
      </c>
      <c r="DI34" s="64">
        <f t="shared" si="10"/>
        <v>0.13829787234042568</v>
      </c>
      <c r="DJ34" s="25">
        <f t="shared" si="11"/>
        <v>2.2113022113022077E-2</v>
      </c>
      <c r="DK34" s="63">
        <f t="shared" si="12"/>
        <v>0.12389380530973464</v>
      </c>
      <c r="DL34" s="64">
        <f t="shared" si="13"/>
        <v>3.8834951456310711E-2</v>
      </c>
      <c r="DM34" s="25">
        <f t="shared" si="14"/>
        <v>-5.8823529411764733E-2</v>
      </c>
      <c r="DN34" s="63">
        <f t="shared" si="15"/>
        <v>-0.13013698630136983</v>
      </c>
    </row>
    <row r="35" spans="1:118" x14ac:dyDescent="0.2">
      <c r="A35" s="30" t="s">
        <v>39</v>
      </c>
      <c r="B35" s="28">
        <v>45861</v>
      </c>
      <c r="C35" s="27">
        <v>1.04</v>
      </c>
      <c r="D35" s="27">
        <v>46</v>
      </c>
      <c r="E35" s="49">
        <v>-1.1100000000000001</v>
      </c>
      <c r="F35" s="35"/>
      <c r="G35" s="26"/>
      <c r="H35" s="26"/>
      <c r="I35" s="26"/>
      <c r="J35" s="40"/>
      <c r="K35" s="30" t="s">
        <v>39</v>
      </c>
      <c r="L35" s="28">
        <v>45883</v>
      </c>
      <c r="M35" s="27">
        <v>0.95</v>
      </c>
      <c r="N35" s="27">
        <v>38.9</v>
      </c>
      <c r="O35" s="49">
        <v>-1</v>
      </c>
      <c r="P35" s="30" t="s">
        <v>39</v>
      </c>
      <c r="Q35" s="28">
        <v>45889</v>
      </c>
      <c r="R35" s="27">
        <v>0.87</v>
      </c>
      <c r="S35" s="27">
        <v>42.3</v>
      </c>
      <c r="T35" s="49">
        <v>-0.99</v>
      </c>
      <c r="U35" s="30" t="s">
        <v>39</v>
      </c>
      <c r="V35" s="28">
        <v>45897</v>
      </c>
      <c r="W35" s="27">
        <v>0.9</v>
      </c>
      <c r="X35" s="27">
        <v>40.6</v>
      </c>
      <c r="Y35" s="49">
        <v>-1.03</v>
      </c>
      <c r="Z35" s="30" t="s">
        <v>39</v>
      </c>
      <c r="AA35" s="28">
        <v>45904</v>
      </c>
      <c r="AB35" s="27">
        <v>0.94</v>
      </c>
      <c r="AC35" s="27">
        <v>38.5</v>
      </c>
      <c r="AD35" s="49">
        <v>-0.99</v>
      </c>
      <c r="AE35" s="30" t="s">
        <v>39</v>
      </c>
      <c r="AF35" s="28">
        <v>45918</v>
      </c>
      <c r="AG35" s="27">
        <v>0.8</v>
      </c>
      <c r="AH35" s="27">
        <v>38.6</v>
      </c>
      <c r="AI35" s="49">
        <v>-1.08</v>
      </c>
      <c r="AJ35" s="30" t="s">
        <v>39</v>
      </c>
      <c r="AK35" s="28">
        <v>45925</v>
      </c>
      <c r="AL35" s="27">
        <v>0.88</v>
      </c>
      <c r="AM35" s="27">
        <v>41.1</v>
      </c>
      <c r="AN35" s="49">
        <v>-1</v>
      </c>
      <c r="AO35" s="30" t="s">
        <v>39</v>
      </c>
      <c r="AP35" s="28">
        <v>45932</v>
      </c>
      <c r="AQ35" s="27">
        <v>0.93</v>
      </c>
      <c r="AR35" s="27">
        <v>41.2</v>
      </c>
      <c r="AS35" s="49">
        <v>-1.01</v>
      </c>
      <c r="AT35" s="30" t="s">
        <v>39</v>
      </c>
      <c r="AU35" s="28">
        <v>45939</v>
      </c>
      <c r="AV35" s="27">
        <v>0.96</v>
      </c>
      <c r="AW35" s="27">
        <v>39.9</v>
      </c>
      <c r="AX35" s="49">
        <v>-0.91</v>
      </c>
      <c r="AY35" s="30" t="s">
        <v>39</v>
      </c>
      <c r="AZ35" s="28">
        <v>45946</v>
      </c>
      <c r="BA35" s="27">
        <v>0.88</v>
      </c>
      <c r="BB35" s="27">
        <v>41.8</v>
      </c>
      <c r="BC35" s="49">
        <v>-0.93</v>
      </c>
      <c r="BD35" s="30" t="s">
        <v>39</v>
      </c>
      <c r="BE35" s="28">
        <v>45953</v>
      </c>
      <c r="BF35" s="27">
        <v>0.83</v>
      </c>
      <c r="BG35" s="27">
        <v>39.6</v>
      </c>
      <c r="BH35" s="49">
        <v>-0.77</v>
      </c>
      <c r="BI35" s="121" t="s">
        <v>39</v>
      </c>
      <c r="BJ35" s="117">
        <v>45960</v>
      </c>
      <c r="BK35" s="116">
        <v>0.9</v>
      </c>
      <c r="BL35" s="116">
        <v>40.9</v>
      </c>
      <c r="BM35" s="133">
        <v>-1.03</v>
      </c>
      <c r="BN35" s="141" t="s">
        <v>39</v>
      </c>
      <c r="BO35" s="135">
        <v>45967</v>
      </c>
      <c r="BP35" s="136">
        <v>0.9</v>
      </c>
      <c r="BQ35" s="136">
        <v>37.1</v>
      </c>
      <c r="BR35" s="151">
        <v>-1</v>
      </c>
      <c r="BS35" s="141" t="s">
        <v>39</v>
      </c>
      <c r="BT35" s="135">
        <v>45974</v>
      </c>
      <c r="BU35" s="136">
        <v>0.82</v>
      </c>
      <c r="BV35" s="136">
        <v>41.4</v>
      </c>
      <c r="BW35" s="151">
        <v>-0.87</v>
      </c>
      <c r="BX35" s="141" t="s">
        <v>39</v>
      </c>
      <c r="BY35" s="135">
        <v>45981</v>
      </c>
      <c r="BZ35" s="136">
        <v>0.93</v>
      </c>
      <c r="CA35" s="136">
        <v>44.1</v>
      </c>
      <c r="CB35" s="142">
        <v>-1.01</v>
      </c>
      <c r="CF35" s="19"/>
      <c r="CG35" s="18"/>
      <c r="CK35" s="19"/>
      <c r="CL35" s="18"/>
      <c r="CP35" s="19"/>
      <c r="CQ35" s="18"/>
      <c r="CU35" s="19"/>
      <c r="CV35" s="18"/>
      <c r="CZ35" s="19"/>
      <c r="DB35" s="79" t="s">
        <v>39</v>
      </c>
      <c r="DC35" s="64">
        <f t="shared" si="4"/>
        <v>0.90200000000000002</v>
      </c>
      <c r="DD35" s="25">
        <f t="shared" si="5"/>
        <v>40.799999999999997</v>
      </c>
      <c r="DE35" s="63">
        <f t="shared" si="6"/>
        <v>-0.98199999999999987</v>
      </c>
      <c r="DF35" s="64">
        <f t="shared" si="7"/>
        <v>3.1042128603104239E-2</v>
      </c>
      <c r="DG35" s="25">
        <f t="shared" si="8"/>
        <v>8.0882352941176586E-2</v>
      </c>
      <c r="DH35" s="63">
        <f t="shared" si="9"/>
        <v>2.8513238289205843E-2</v>
      </c>
      <c r="DI35" s="64">
        <f t="shared" si="10"/>
        <v>0.13414634146341475</v>
      </c>
      <c r="DJ35" s="25">
        <f t="shared" si="11"/>
        <v>6.5217391304347894E-2</v>
      </c>
      <c r="DK35" s="63">
        <f t="shared" si="12"/>
        <v>0.16091954022988508</v>
      </c>
      <c r="DL35" s="64">
        <f t="shared" si="13"/>
        <v>-0.10576923076923075</v>
      </c>
      <c r="DM35" s="25">
        <f t="shared" si="14"/>
        <v>-4.1304347826086926E-2</v>
      </c>
      <c r="DN35" s="63">
        <f t="shared" si="15"/>
        <v>-9.0090090090090169E-2</v>
      </c>
    </row>
    <row r="36" spans="1:118" ht="17" thickBot="1" x14ac:dyDescent="0.25">
      <c r="A36" s="30" t="s">
        <v>74</v>
      </c>
      <c r="B36" s="28">
        <v>45855</v>
      </c>
      <c r="C36" s="27">
        <v>0.83</v>
      </c>
      <c r="D36" s="27">
        <v>57.9</v>
      </c>
      <c r="E36" s="49">
        <v>-1.1100000000000001</v>
      </c>
      <c r="F36" s="35"/>
      <c r="G36" s="26"/>
      <c r="H36" s="26"/>
      <c r="I36" s="26"/>
      <c r="J36" s="40"/>
      <c r="K36" s="30"/>
      <c r="L36" s="28"/>
      <c r="M36" s="27"/>
      <c r="N36" s="27"/>
      <c r="O36" s="49"/>
      <c r="P36" s="30"/>
      <c r="Q36" s="28"/>
      <c r="R36" s="27"/>
      <c r="S36" s="27"/>
      <c r="T36" s="49"/>
      <c r="U36" s="30"/>
      <c r="V36" s="28"/>
      <c r="W36" s="27"/>
      <c r="X36" s="27"/>
      <c r="Y36" s="49"/>
      <c r="Z36" s="30"/>
      <c r="AA36" s="28"/>
      <c r="AB36" s="27"/>
      <c r="AC36" s="27"/>
      <c r="AD36" s="49"/>
      <c r="AE36" s="30"/>
      <c r="AF36" s="28"/>
      <c r="AG36" s="27"/>
      <c r="AH36" s="27"/>
      <c r="AI36" s="49"/>
      <c r="AJ36" s="30"/>
      <c r="AK36" s="28"/>
      <c r="AL36" s="27"/>
      <c r="AM36" s="27"/>
      <c r="AN36" s="49"/>
      <c r="AO36" s="30"/>
      <c r="AP36" s="28"/>
      <c r="AQ36" s="27"/>
      <c r="AR36" s="27"/>
      <c r="AS36" s="49"/>
      <c r="AT36" s="30" t="s">
        <v>74</v>
      </c>
      <c r="AU36" s="28">
        <v>45939</v>
      </c>
      <c r="AV36" s="27">
        <v>0.97</v>
      </c>
      <c r="AW36" s="27">
        <v>49.9</v>
      </c>
      <c r="AX36" s="49">
        <v>-1.1100000000000001</v>
      </c>
      <c r="AY36" s="30" t="s">
        <v>74</v>
      </c>
      <c r="AZ36" s="28">
        <v>45946</v>
      </c>
      <c r="BA36" s="27">
        <v>0.95</v>
      </c>
      <c r="BB36" s="27">
        <v>50.3</v>
      </c>
      <c r="BC36" s="49">
        <v>-1.33</v>
      </c>
      <c r="BD36" s="30" t="s">
        <v>74</v>
      </c>
      <c r="BE36" s="28">
        <v>45953</v>
      </c>
      <c r="BF36" s="27">
        <v>1</v>
      </c>
      <c r="BG36" s="27">
        <v>44.4</v>
      </c>
      <c r="BH36" s="49">
        <v>-1.17</v>
      </c>
      <c r="BI36" s="121" t="s">
        <v>74</v>
      </c>
      <c r="BJ36" s="117">
        <v>45960</v>
      </c>
      <c r="BK36" s="116">
        <v>0.99</v>
      </c>
      <c r="BL36" s="116">
        <v>47.9</v>
      </c>
      <c r="BM36" s="133">
        <v>-1.28</v>
      </c>
      <c r="BN36" s="141" t="s">
        <v>74</v>
      </c>
      <c r="BO36" s="135">
        <v>45967</v>
      </c>
      <c r="BP36" s="136">
        <v>1.02</v>
      </c>
      <c r="BQ36" s="136">
        <v>44.3</v>
      </c>
      <c r="BR36" s="151">
        <v>-1.2</v>
      </c>
      <c r="BS36" s="141" t="s">
        <v>74</v>
      </c>
      <c r="BT36" s="135">
        <v>45974</v>
      </c>
      <c r="BU36" s="136">
        <v>0.89</v>
      </c>
      <c r="BV36" s="136">
        <v>41.6</v>
      </c>
      <c r="BW36" s="151">
        <v>-1.01</v>
      </c>
      <c r="BX36" s="141" t="s">
        <v>74</v>
      </c>
      <c r="BY36" s="135">
        <v>45981</v>
      </c>
      <c r="BZ36" s="136">
        <v>1.05</v>
      </c>
      <c r="CA36" s="136">
        <v>48.5</v>
      </c>
      <c r="CB36" s="142">
        <v>-1.31</v>
      </c>
      <c r="CC36" s="21"/>
      <c r="CD36" s="23"/>
      <c r="CE36" s="23"/>
      <c r="CF36" s="24"/>
      <c r="CG36" s="20"/>
      <c r="CH36" s="21"/>
      <c r="CI36" s="23"/>
      <c r="CJ36" s="23"/>
      <c r="CK36" s="24"/>
      <c r="CL36" s="20"/>
      <c r="CM36" s="21"/>
      <c r="CN36" s="23"/>
      <c r="CO36" s="23"/>
      <c r="CP36" s="24"/>
      <c r="CQ36" s="20"/>
      <c r="CR36" s="21"/>
      <c r="CS36" s="23"/>
      <c r="CT36" s="23"/>
      <c r="CU36" s="24"/>
      <c r="CV36" s="20"/>
      <c r="CW36" s="21"/>
      <c r="CX36" s="23"/>
      <c r="CY36" s="23"/>
      <c r="CZ36" s="24"/>
      <c r="DB36" s="79" t="s">
        <v>74</v>
      </c>
      <c r="DC36" s="64">
        <f t="shared" si="4"/>
        <v>0.96249999999999991</v>
      </c>
      <c r="DD36" s="25">
        <f t="shared" si="5"/>
        <v>48.1</v>
      </c>
      <c r="DE36" s="63">
        <f t="shared" si="6"/>
        <v>-1.1900000000000002</v>
      </c>
      <c r="DF36" s="64">
        <f t="shared" si="7"/>
        <v>9.090909090909105E-2</v>
      </c>
      <c r="DG36" s="25">
        <f t="shared" si="8"/>
        <v>8.316008316008287E-3</v>
      </c>
      <c r="DH36" s="63">
        <f t="shared" si="9"/>
        <v>0.10084033613445367</v>
      </c>
      <c r="DI36" s="64">
        <f t="shared" si="10"/>
        <v>0.17977528089887643</v>
      </c>
      <c r="DJ36" s="25">
        <f t="shared" si="11"/>
        <v>0.16586538461538458</v>
      </c>
      <c r="DK36" s="63">
        <f t="shared" si="12"/>
        <v>0.29702970297029707</v>
      </c>
      <c r="DL36" s="64">
        <f t="shared" si="13"/>
        <v>0.26506024096385555</v>
      </c>
      <c r="DM36" s="25">
        <f t="shared" si="14"/>
        <v>-0.1623488773747841</v>
      </c>
      <c r="DN36" s="63">
        <f t="shared" si="15"/>
        <v>0.18018018018018012</v>
      </c>
    </row>
    <row r="37" spans="1:118" x14ac:dyDescent="0.2">
      <c r="A37" s="30" t="s">
        <v>69</v>
      </c>
      <c r="B37" s="93">
        <v>45883</v>
      </c>
      <c r="C37" s="27">
        <v>1.2</v>
      </c>
      <c r="D37" s="27">
        <v>38</v>
      </c>
      <c r="E37" s="49">
        <v>-0.86</v>
      </c>
      <c r="F37" s="35"/>
      <c r="G37" s="26"/>
      <c r="H37" s="26"/>
      <c r="I37" s="26"/>
      <c r="J37" s="40"/>
      <c r="K37" s="30" t="s">
        <v>69</v>
      </c>
      <c r="L37" s="28">
        <v>45883</v>
      </c>
      <c r="M37" s="27">
        <v>1.2</v>
      </c>
      <c r="N37" s="27">
        <v>38</v>
      </c>
      <c r="O37" s="49">
        <v>-0.86</v>
      </c>
      <c r="P37" s="30" t="s">
        <v>69</v>
      </c>
      <c r="Q37" s="28">
        <v>45889</v>
      </c>
      <c r="R37" s="27">
        <v>1.2</v>
      </c>
      <c r="S37" s="27">
        <v>39.6</v>
      </c>
      <c r="T37" s="49">
        <v>-1.04</v>
      </c>
      <c r="U37" s="30" t="s">
        <v>69</v>
      </c>
      <c r="V37" s="28">
        <v>45897</v>
      </c>
      <c r="W37" s="27">
        <v>1.2</v>
      </c>
      <c r="X37" s="27">
        <v>43.7</v>
      </c>
      <c r="Y37" s="49">
        <v>-1.0900000000000001</v>
      </c>
      <c r="Z37" s="30" t="s">
        <v>69</v>
      </c>
      <c r="AA37" s="28">
        <v>45904</v>
      </c>
      <c r="AB37" s="27">
        <v>1.1200000000000001</v>
      </c>
      <c r="AC37" s="27">
        <v>39.200000000000003</v>
      </c>
      <c r="AD37" s="49">
        <v>-1.01</v>
      </c>
      <c r="AE37" s="30" t="s">
        <v>69</v>
      </c>
      <c r="AF37" s="28">
        <v>45918</v>
      </c>
      <c r="AG37" s="27">
        <v>1.1100000000000001</v>
      </c>
      <c r="AH37" s="27">
        <v>42</v>
      </c>
      <c r="AI37" s="49">
        <v>-1.07</v>
      </c>
      <c r="AJ37" s="30" t="s">
        <v>69</v>
      </c>
      <c r="AK37" s="28">
        <v>45925</v>
      </c>
      <c r="AL37" s="27">
        <v>1.1000000000000001</v>
      </c>
      <c r="AM37" s="27">
        <v>38.700000000000003</v>
      </c>
      <c r="AN37" s="49">
        <v>-1.01</v>
      </c>
      <c r="AO37" s="30" t="s">
        <v>69</v>
      </c>
      <c r="AP37" s="28">
        <v>45932</v>
      </c>
      <c r="AQ37" s="27">
        <v>1.01</v>
      </c>
      <c r="AR37" s="27">
        <v>37</v>
      </c>
      <c r="AS37" s="49">
        <v>-1.05</v>
      </c>
      <c r="AT37" s="30" t="s">
        <v>69</v>
      </c>
      <c r="AU37" s="28">
        <v>45939</v>
      </c>
      <c r="AV37" s="27">
        <v>1.21</v>
      </c>
      <c r="AW37" s="27">
        <v>36</v>
      </c>
      <c r="AX37" s="49">
        <v>-0.87</v>
      </c>
      <c r="AY37" s="30" t="s">
        <v>69</v>
      </c>
      <c r="AZ37" s="28">
        <v>45946</v>
      </c>
      <c r="BA37" s="27">
        <v>1.25</v>
      </c>
      <c r="BB37" s="27">
        <v>45.9</v>
      </c>
      <c r="BC37" s="49">
        <v>-1.02</v>
      </c>
      <c r="BD37" s="30" t="s">
        <v>69</v>
      </c>
      <c r="BE37" s="28">
        <v>45953</v>
      </c>
      <c r="BF37" s="27">
        <v>1.1100000000000001</v>
      </c>
      <c r="BG37" s="27">
        <v>44.5</v>
      </c>
      <c r="BH37" s="49">
        <v>-0.95</v>
      </c>
      <c r="BI37" s="121" t="s">
        <v>69</v>
      </c>
      <c r="BJ37" s="117">
        <v>45960</v>
      </c>
      <c r="BK37" s="116">
        <v>0.91</v>
      </c>
      <c r="BL37" s="116">
        <v>37.6</v>
      </c>
      <c r="BM37" s="133">
        <v>-0.84</v>
      </c>
      <c r="BN37" s="141" t="s">
        <v>69</v>
      </c>
      <c r="BO37" s="135">
        <v>45967</v>
      </c>
      <c r="BP37" s="136">
        <v>1.06</v>
      </c>
      <c r="BQ37" s="136">
        <v>29.8</v>
      </c>
      <c r="BR37" s="151">
        <v>-1.1299999999999999</v>
      </c>
      <c r="BS37" s="141" t="s">
        <v>69</v>
      </c>
      <c r="BT37" s="135">
        <v>45974</v>
      </c>
      <c r="BU37" s="136">
        <v>1.0900000000000001</v>
      </c>
      <c r="BV37" s="136">
        <v>40.200000000000003</v>
      </c>
      <c r="BW37" s="151">
        <v>-1.06</v>
      </c>
      <c r="BX37" s="141" t="s">
        <v>69</v>
      </c>
      <c r="BY37" s="135">
        <v>45981</v>
      </c>
      <c r="BZ37" s="136">
        <v>1.18</v>
      </c>
      <c r="CA37" s="136">
        <v>43.2</v>
      </c>
      <c r="CB37" s="142">
        <v>-1.02</v>
      </c>
      <c r="DB37" s="79" t="s">
        <v>69</v>
      </c>
      <c r="DC37" s="64">
        <f t="shared" si="4"/>
        <v>1.1300000000000001</v>
      </c>
      <c r="DD37" s="25">
        <f t="shared" si="5"/>
        <v>39.560000000000009</v>
      </c>
      <c r="DE37" s="63">
        <f t="shared" si="6"/>
        <v>-0.99199999999999977</v>
      </c>
      <c r="DF37" s="64">
        <f t="shared" si="7"/>
        <v>4.4247787610619309E-2</v>
      </c>
      <c r="DG37" s="25">
        <f t="shared" si="8"/>
        <v>9.201213346814946E-2</v>
      </c>
      <c r="DH37" s="63">
        <f t="shared" si="9"/>
        <v>2.8225806451613159E-2</v>
      </c>
      <c r="DI37" s="64">
        <f t="shared" si="10"/>
        <v>8.2568807339449407E-2</v>
      </c>
      <c r="DJ37" s="25">
        <f t="shared" si="11"/>
        <v>7.4626865671641784E-2</v>
      </c>
      <c r="DK37" s="63">
        <f t="shared" si="12"/>
        <v>-3.7735849056603807E-2</v>
      </c>
      <c r="DL37" s="64">
        <f t="shared" si="13"/>
        <v>-1.6666666666666684E-2</v>
      </c>
      <c r="DM37" s="25">
        <f t="shared" si="14"/>
        <v>0.13684210526315796</v>
      </c>
      <c r="DN37" s="63">
        <f t="shared" si="15"/>
        <v>0.186046511627907</v>
      </c>
    </row>
    <row r="38" spans="1:118" x14ac:dyDescent="0.2">
      <c r="A38" s="30" t="s">
        <v>70</v>
      </c>
      <c r="B38" s="93">
        <v>45883</v>
      </c>
      <c r="C38" s="27">
        <v>1.32</v>
      </c>
      <c r="D38" s="27">
        <v>43.9</v>
      </c>
      <c r="E38" s="49">
        <v>-1.23</v>
      </c>
      <c r="F38" s="35"/>
      <c r="G38" s="26"/>
      <c r="H38" s="26"/>
      <c r="I38" s="26"/>
      <c r="J38" s="40"/>
      <c r="K38" s="30" t="s">
        <v>70</v>
      </c>
      <c r="L38" s="28">
        <v>45883</v>
      </c>
      <c r="M38" s="27">
        <v>1.32</v>
      </c>
      <c r="N38" s="27">
        <v>43.9</v>
      </c>
      <c r="O38" s="49">
        <v>-1.23</v>
      </c>
      <c r="P38" s="30" t="s">
        <v>70</v>
      </c>
      <c r="Q38" s="28">
        <v>45889</v>
      </c>
      <c r="R38" s="27">
        <v>1.1200000000000001</v>
      </c>
      <c r="S38" s="27">
        <v>46.1</v>
      </c>
      <c r="T38" s="49">
        <v>-1.18</v>
      </c>
      <c r="U38" s="30" t="s">
        <v>70</v>
      </c>
      <c r="V38" s="28">
        <v>45897</v>
      </c>
      <c r="W38" s="27">
        <v>1.22</v>
      </c>
      <c r="X38" s="27">
        <v>48.4</v>
      </c>
      <c r="Y38" s="49">
        <v>-1.26</v>
      </c>
      <c r="Z38" s="30" t="s">
        <v>70</v>
      </c>
      <c r="AA38" s="28">
        <v>45904</v>
      </c>
      <c r="AB38" s="27">
        <v>1.1100000000000001</v>
      </c>
      <c r="AC38" s="27">
        <v>45.6</v>
      </c>
      <c r="AD38" s="49">
        <v>-1.06</v>
      </c>
      <c r="AE38" s="30" t="s">
        <v>70</v>
      </c>
      <c r="AF38" s="28">
        <v>45918</v>
      </c>
      <c r="AG38" s="27">
        <v>1.25</v>
      </c>
      <c r="AH38" s="27">
        <v>45</v>
      </c>
      <c r="AI38" s="49">
        <v>-1.28</v>
      </c>
      <c r="AJ38" s="30" t="s">
        <v>70</v>
      </c>
      <c r="AK38" s="28">
        <v>45925</v>
      </c>
      <c r="AL38" s="27">
        <v>1.04</v>
      </c>
      <c r="AM38" s="27">
        <v>41.1</v>
      </c>
      <c r="AN38" s="49">
        <v>-1.1100000000000001</v>
      </c>
      <c r="AO38" s="30" t="s">
        <v>70</v>
      </c>
      <c r="AP38" s="28">
        <v>45932</v>
      </c>
      <c r="AQ38" s="27">
        <v>1.17</v>
      </c>
      <c r="AR38" s="27">
        <v>39.4</v>
      </c>
      <c r="AS38" s="49">
        <v>-1.25</v>
      </c>
      <c r="AT38" s="30" t="s">
        <v>70</v>
      </c>
      <c r="AU38" s="28">
        <v>45939</v>
      </c>
      <c r="AV38" s="27">
        <v>1.17</v>
      </c>
      <c r="AW38" s="27">
        <v>41.9</v>
      </c>
      <c r="AX38" s="49">
        <v>-1.25</v>
      </c>
      <c r="AY38" s="30" t="s">
        <v>70</v>
      </c>
      <c r="AZ38" s="28">
        <v>45946</v>
      </c>
      <c r="BA38" s="27">
        <v>1.22</v>
      </c>
      <c r="BB38" s="27">
        <v>36.4</v>
      </c>
      <c r="BC38" s="49">
        <v>-1.0900000000000001</v>
      </c>
      <c r="BD38" s="30" t="s">
        <v>70</v>
      </c>
      <c r="BE38" s="28">
        <v>45953</v>
      </c>
      <c r="BF38" s="27">
        <v>1.19</v>
      </c>
      <c r="BG38" s="27">
        <v>40</v>
      </c>
      <c r="BH38" s="49">
        <v>-1.08</v>
      </c>
      <c r="BI38" s="121" t="s">
        <v>70</v>
      </c>
      <c r="BJ38" s="117">
        <v>45960</v>
      </c>
      <c r="BK38" s="116">
        <v>1.06</v>
      </c>
      <c r="BL38" s="116">
        <v>40.700000000000003</v>
      </c>
      <c r="BM38" s="133">
        <v>-1.1100000000000001</v>
      </c>
      <c r="BN38" s="141" t="s">
        <v>70</v>
      </c>
      <c r="BO38" s="135">
        <v>45967</v>
      </c>
      <c r="BP38" s="136">
        <v>1.31</v>
      </c>
      <c r="BQ38" s="136">
        <v>45.5</v>
      </c>
      <c r="BR38" s="151">
        <v>-1.28</v>
      </c>
      <c r="BS38" s="141" t="s">
        <v>70</v>
      </c>
      <c r="BT38" s="135">
        <v>45974</v>
      </c>
      <c r="BU38" s="136">
        <v>1.1299999999999999</v>
      </c>
      <c r="BV38" s="136">
        <v>40.700000000000003</v>
      </c>
      <c r="BW38" s="151">
        <v>-1.18</v>
      </c>
      <c r="BX38" s="141" t="s">
        <v>70</v>
      </c>
      <c r="BY38" s="135">
        <v>45981</v>
      </c>
      <c r="BZ38" s="136">
        <v>1.1299999999999999</v>
      </c>
      <c r="CA38" s="136">
        <v>40.4</v>
      </c>
      <c r="CB38" s="142">
        <v>-1.18</v>
      </c>
      <c r="DB38" s="79" t="s">
        <v>70</v>
      </c>
      <c r="DC38" s="64">
        <f t="shared" si="4"/>
        <v>1.1840000000000002</v>
      </c>
      <c r="DD38" s="25">
        <f t="shared" si="5"/>
        <v>42.6</v>
      </c>
      <c r="DE38" s="63">
        <f t="shared" si="6"/>
        <v>-1.1846666666666665</v>
      </c>
      <c r="DF38" s="64">
        <f t="shared" si="7"/>
        <v>-4.5608108108108329E-2</v>
      </c>
      <c r="DG38" s="25">
        <f t="shared" si="8"/>
        <v>-5.1643192488262976E-2</v>
      </c>
      <c r="DH38" s="63">
        <f t="shared" si="9"/>
        <v>-3.9392234102419224E-3</v>
      </c>
      <c r="DI38" s="64">
        <f t="shared" si="10"/>
        <v>0</v>
      </c>
      <c r="DJ38" s="25">
        <f t="shared" si="11"/>
        <v>-7.3710073710074753E-3</v>
      </c>
      <c r="DK38" s="63">
        <f t="shared" si="12"/>
        <v>0</v>
      </c>
      <c r="DL38" s="64">
        <f t="shared" si="13"/>
        <v>-0.14393939393939406</v>
      </c>
      <c r="DM38" s="25">
        <f t="shared" si="14"/>
        <v>-7.9726651480637817E-2</v>
      </c>
      <c r="DN38" s="63">
        <f t="shared" si="15"/>
        <v>-4.0650406504065074E-2</v>
      </c>
    </row>
    <row r="39" spans="1:118" x14ac:dyDescent="0.2">
      <c r="A39" s="30" t="s">
        <v>40</v>
      </c>
      <c r="B39" s="28">
        <v>45861</v>
      </c>
      <c r="C39" s="27">
        <v>0.95</v>
      </c>
      <c r="D39" s="27">
        <v>42.8</v>
      </c>
      <c r="E39" s="49">
        <v>-1.2</v>
      </c>
      <c r="F39" s="55" t="s">
        <v>40</v>
      </c>
      <c r="G39" s="51">
        <v>45870</v>
      </c>
      <c r="H39" s="52">
        <v>0.9</v>
      </c>
      <c r="I39" s="52">
        <v>47.6</v>
      </c>
      <c r="J39" s="76">
        <v>-1.33</v>
      </c>
      <c r="K39" s="30" t="s">
        <v>40</v>
      </c>
      <c r="L39" s="28">
        <v>45883</v>
      </c>
      <c r="M39" s="27">
        <v>0.87</v>
      </c>
      <c r="N39" s="27">
        <v>41.7</v>
      </c>
      <c r="O39" s="49">
        <v>-1.1100000000000001</v>
      </c>
      <c r="P39" s="30" t="s">
        <v>40</v>
      </c>
      <c r="Q39" s="28">
        <v>45889</v>
      </c>
      <c r="R39" s="27">
        <v>0.93</v>
      </c>
      <c r="S39" s="27">
        <v>45.6</v>
      </c>
      <c r="T39" s="49">
        <v>-1.21</v>
      </c>
      <c r="U39" s="30" t="s">
        <v>40</v>
      </c>
      <c r="V39" s="28">
        <v>45897</v>
      </c>
      <c r="W39" s="27">
        <v>0.87</v>
      </c>
      <c r="X39" s="27">
        <v>40.799999999999997</v>
      </c>
      <c r="Y39" s="49">
        <v>-1.17</v>
      </c>
      <c r="Z39" s="30" t="s">
        <v>40</v>
      </c>
      <c r="AA39" s="28">
        <v>45904</v>
      </c>
      <c r="AB39" s="27">
        <v>0.86</v>
      </c>
      <c r="AC39" s="27">
        <v>40.799999999999997</v>
      </c>
      <c r="AD39" s="49">
        <v>-1.1100000000000001</v>
      </c>
      <c r="AE39" s="30" t="s">
        <v>40</v>
      </c>
      <c r="AF39" s="28">
        <v>45918</v>
      </c>
      <c r="AG39" s="27">
        <v>0.96</v>
      </c>
      <c r="AH39" s="27">
        <v>40.700000000000003</v>
      </c>
      <c r="AI39" s="49">
        <v>-1.22</v>
      </c>
      <c r="AJ39" s="30" t="s">
        <v>40</v>
      </c>
      <c r="AK39" s="28">
        <v>45925</v>
      </c>
      <c r="AL39" s="27">
        <v>0.92</v>
      </c>
      <c r="AM39" s="27">
        <v>45.2</v>
      </c>
      <c r="AN39" s="49">
        <v>-1.23</v>
      </c>
      <c r="AO39" s="30" t="s">
        <v>40</v>
      </c>
      <c r="AP39" s="28">
        <v>45932</v>
      </c>
      <c r="AQ39" s="27">
        <v>0.88</v>
      </c>
      <c r="AR39" s="27">
        <v>42.7</v>
      </c>
      <c r="AS39" s="49">
        <v>-1.29</v>
      </c>
      <c r="AT39" s="30" t="s">
        <v>40</v>
      </c>
      <c r="AU39" s="28">
        <v>45939</v>
      </c>
      <c r="AV39" s="27">
        <v>0.93</v>
      </c>
      <c r="AW39" s="27">
        <v>42.1</v>
      </c>
      <c r="AX39" s="49">
        <v>-1.17</v>
      </c>
      <c r="AY39" s="30" t="s">
        <v>40</v>
      </c>
      <c r="AZ39" s="28">
        <v>45946</v>
      </c>
      <c r="BA39" s="27">
        <v>0.87</v>
      </c>
      <c r="BB39" s="27">
        <v>41.2</v>
      </c>
      <c r="BC39" s="49">
        <v>-1.36</v>
      </c>
      <c r="BD39" s="30" t="s">
        <v>40</v>
      </c>
      <c r="BE39" s="28">
        <v>45953</v>
      </c>
      <c r="BF39" s="27">
        <v>0.93</v>
      </c>
      <c r="BG39" s="27">
        <v>43</v>
      </c>
      <c r="BH39" s="49">
        <v>-1.19</v>
      </c>
      <c r="BI39" s="121" t="s">
        <v>40</v>
      </c>
      <c r="BJ39" s="117">
        <v>45960</v>
      </c>
      <c r="BK39" s="116">
        <v>0.82</v>
      </c>
      <c r="BL39" s="116">
        <v>39.799999999999997</v>
      </c>
      <c r="BM39" s="133">
        <v>-1.02</v>
      </c>
      <c r="BN39" s="141" t="s">
        <v>40</v>
      </c>
      <c r="BO39" s="135">
        <v>45967</v>
      </c>
      <c r="BP39" s="136">
        <v>0.9</v>
      </c>
      <c r="BQ39" s="136">
        <v>41.6</v>
      </c>
      <c r="BR39" s="151">
        <v>-1.22</v>
      </c>
      <c r="BS39" s="141" t="s">
        <v>40</v>
      </c>
      <c r="BT39" s="135">
        <v>45974</v>
      </c>
      <c r="BU39" s="136">
        <v>0.87</v>
      </c>
      <c r="BV39" s="136">
        <v>41.8</v>
      </c>
      <c r="BW39" s="151">
        <v>-1.1100000000000001</v>
      </c>
      <c r="BX39" s="141" t="s">
        <v>40</v>
      </c>
      <c r="BY39" s="135">
        <v>45981</v>
      </c>
      <c r="BZ39" s="136">
        <v>0.82</v>
      </c>
      <c r="CA39" s="136">
        <v>41</v>
      </c>
      <c r="CB39" s="142">
        <v>-1.08</v>
      </c>
      <c r="DB39" s="79" t="s">
        <v>40</v>
      </c>
      <c r="DC39" s="64">
        <f t="shared" si="4"/>
        <v>0.89249999999999996</v>
      </c>
      <c r="DD39" s="25">
        <f t="shared" si="5"/>
        <v>42.4</v>
      </c>
      <c r="DE39" s="63">
        <f t="shared" si="6"/>
        <v>-1.1887499999999998</v>
      </c>
      <c r="DF39" s="64">
        <f t="shared" si="7"/>
        <v>-8.1232492997198896E-2</v>
      </c>
      <c r="DG39" s="25">
        <f t="shared" si="8"/>
        <v>-3.3018867924528267E-2</v>
      </c>
      <c r="DH39" s="63">
        <f t="shared" si="9"/>
        <v>-9.1482649842271044E-2</v>
      </c>
      <c r="DI39" s="64">
        <f t="shared" si="10"/>
        <v>-5.7471264367816147E-2</v>
      </c>
      <c r="DJ39" s="25">
        <f t="shared" si="11"/>
        <v>-1.9138755980861177E-2</v>
      </c>
      <c r="DK39" s="63">
        <f t="shared" si="12"/>
        <v>-2.7027027027027049E-2</v>
      </c>
      <c r="DL39" s="64">
        <f t="shared" si="13"/>
        <v>-0.1368421052631579</v>
      </c>
      <c r="DM39" s="25">
        <f t="shared" si="14"/>
        <v>-4.2056074766355075E-2</v>
      </c>
      <c r="DN39" s="63">
        <f t="shared" si="15"/>
        <v>-9.9999999999999908E-2</v>
      </c>
    </row>
    <row r="40" spans="1:118" x14ac:dyDescent="0.2">
      <c r="A40" s="30" t="s">
        <v>41</v>
      </c>
      <c r="B40" s="28">
        <v>45861</v>
      </c>
      <c r="C40" s="27">
        <v>0.94</v>
      </c>
      <c r="D40" s="27">
        <v>48.5</v>
      </c>
      <c r="E40" s="49">
        <v>-1.1000000000000001</v>
      </c>
      <c r="F40" s="55" t="s">
        <v>41</v>
      </c>
      <c r="G40" s="51">
        <v>45870</v>
      </c>
      <c r="H40" s="52">
        <v>0.87</v>
      </c>
      <c r="I40" s="52">
        <v>47.4</v>
      </c>
      <c r="J40" s="76">
        <v>-1.1000000000000001</v>
      </c>
      <c r="K40" s="30" t="s">
        <v>41</v>
      </c>
      <c r="L40" s="28">
        <v>45883</v>
      </c>
      <c r="M40" s="27">
        <v>0.82</v>
      </c>
      <c r="N40" s="27">
        <v>47.4</v>
      </c>
      <c r="O40" s="49">
        <v>-1.08</v>
      </c>
      <c r="P40" s="30" t="s">
        <v>41</v>
      </c>
      <c r="Q40" s="28">
        <v>45889</v>
      </c>
      <c r="R40" s="27">
        <v>0.93</v>
      </c>
      <c r="S40" s="27">
        <v>48.7</v>
      </c>
      <c r="T40" s="49">
        <v>-1.26</v>
      </c>
      <c r="U40" s="30" t="s">
        <v>41</v>
      </c>
      <c r="V40" s="28">
        <v>45897</v>
      </c>
      <c r="W40" s="27">
        <v>0.82</v>
      </c>
      <c r="X40" s="27">
        <v>42.8</v>
      </c>
      <c r="Y40" s="49">
        <v>-1.07</v>
      </c>
      <c r="Z40" s="30"/>
      <c r="AA40" s="27"/>
      <c r="AB40" s="27"/>
      <c r="AC40" s="27"/>
      <c r="AD40" s="49"/>
      <c r="AE40" s="35"/>
      <c r="AF40" s="26"/>
      <c r="AG40" s="26"/>
      <c r="AH40" s="26"/>
      <c r="AI40" s="40"/>
      <c r="AJ40" s="30"/>
      <c r="AK40" s="27"/>
      <c r="AL40" s="27"/>
      <c r="AM40" s="27"/>
      <c r="AN40" s="49"/>
      <c r="AO40" s="30"/>
      <c r="AP40" s="27"/>
      <c r="AQ40" s="27"/>
      <c r="AR40" s="27"/>
      <c r="AS40" s="49"/>
      <c r="AT40" s="30" t="s">
        <v>41</v>
      </c>
      <c r="AU40" s="28">
        <v>45939</v>
      </c>
      <c r="AV40" s="27">
        <v>0.84</v>
      </c>
      <c r="AW40" s="27">
        <v>44.5</v>
      </c>
      <c r="AX40" s="49">
        <v>-1.1399999999999999</v>
      </c>
      <c r="AY40" s="30" t="s">
        <v>41</v>
      </c>
      <c r="AZ40" s="28">
        <v>45946</v>
      </c>
      <c r="BA40" s="27">
        <v>0.93</v>
      </c>
      <c r="BB40" s="27">
        <v>46.1</v>
      </c>
      <c r="BC40" s="49">
        <v>-1.34</v>
      </c>
      <c r="BD40" s="30" t="s">
        <v>41</v>
      </c>
      <c r="BE40" s="28">
        <v>45953</v>
      </c>
      <c r="BF40" s="27">
        <v>0.95</v>
      </c>
      <c r="BG40" s="27">
        <v>45.9</v>
      </c>
      <c r="BH40" s="49">
        <v>-1.28</v>
      </c>
      <c r="BI40" s="122"/>
      <c r="BJ40" s="52"/>
      <c r="BK40" s="52"/>
      <c r="BL40" s="52"/>
      <c r="BM40" s="76"/>
      <c r="BN40" s="141" t="s">
        <v>41</v>
      </c>
      <c r="BO40" s="135">
        <v>45967</v>
      </c>
      <c r="BP40" s="136">
        <v>0.92</v>
      </c>
      <c r="BQ40" s="136">
        <v>44.3</v>
      </c>
      <c r="BR40" s="151">
        <v>-1.24</v>
      </c>
      <c r="BS40" s="141" t="s">
        <v>41</v>
      </c>
      <c r="BT40" s="135">
        <v>45974</v>
      </c>
      <c r="BU40" s="136">
        <v>0.91</v>
      </c>
      <c r="BV40" s="136">
        <v>46.2</v>
      </c>
      <c r="BW40" s="151">
        <v>-1.38</v>
      </c>
      <c r="BX40" s="141" t="s">
        <v>41</v>
      </c>
      <c r="BY40" s="135">
        <v>45981</v>
      </c>
      <c r="BZ40" s="136">
        <v>0.92</v>
      </c>
      <c r="CA40" s="136">
        <v>46.3</v>
      </c>
      <c r="CB40" s="142">
        <v>-1.39</v>
      </c>
      <c r="DB40" s="79" t="s">
        <v>41</v>
      </c>
      <c r="DC40" s="64">
        <f t="shared" si="4"/>
        <v>0.89545454545454539</v>
      </c>
      <c r="DD40" s="25">
        <f t="shared" si="5"/>
        <v>46.190909090909095</v>
      </c>
      <c r="DE40" s="63">
        <f t="shared" si="6"/>
        <v>-1.2163636363636363</v>
      </c>
      <c r="DF40" s="64">
        <f t="shared" si="7"/>
        <v>2.741116751269047E-2</v>
      </c>
      <c r="DG40" s="25">
        <f t="shared" si="8"/>
        <v>2.3617398149968992E-3</v>
      </c>
      <c r="DH40" s="63">
        <f t="shared" si="9"/>
        <v>0.14275037369207769</v>
      </c>
      <c r="DI40" s="64">
        <f t="shared" si="10"/>
        <v>1.0989010989010999E-2</v>
      </c>
      <c r="DJ40" s="25">
        <f t="shared" si="11"/>
        <v>2.1645021645020413E-3</v>
      </c>
      <c r="DK40" s="63">
        <f t="shared" si="12"/>
        <v>7.2463768115942099E-3</v>
      </c>
      <c r="DL40" s="64">
        <f t="shared" si="13"/>
        <v>-2.1276595744680753E-2</v>
      </c>
      <c r="DM40" s="25">
        <f t="shared" si="14"/>
        <v>-4.5360824742268102E-2</v>
      </c>
      <c r="DN40" s="63">
        <f t="shared" si="15"/>
        <v>0.26363636363636345</v>
      </c>
    </row>
    <row r="41" spans="1:118" x14ac:dyDescent="0.2">
      <c r="A41" s="30" t="s">
        <v>42</v>
      </c>
      <c r="B41" s="28">
        <v>45861</v>
      </c>
      <c r="C41" s="27">
        <v>0.76</v>
      </c>
      <c r="D41" s="27">
        <v>47.9</v>
      </c>
      <c r="E41" s="49">
        <v>-0.93</v>
      </c>
      <c r="F41" s="55" t="s">
        <v>42</v>
      </c>
      <c r="G41" s="51">
        <v>45870</v>
      </c>
      <c r="H41" s="52">
        <v>0.75</v>
      </c>
      <c r="I41" s="52">
        <v>48.4</v>
      </c>
      <c r="J41" s="76">
        <v>-0.91</v>
      </c>
      <c r="K41" s="30" t="s">
        <v>42</v>
      </c>
      <c r="L41" s="28">
        <v>45883</v>
      </c>
      <c r="M41" s="27">
        <v>1</v>
      </c>
      <c r="N41" s="27">
        <v>45</v>
      </c>
      <c r="O41" s="49">
        <v>-1.0900000000000001</v>
      </c>
      <c r="P41" s="30" t="s">
        <v>42</v>
      </c>
      <c r="Q41" s="28">
        <v>45889</v>
      </c>
      <c r="R41" s="27">
        <v>0.79</v>
      </c>
      <c r="S41" s="27">
        <v>44.8</v>
      </c>
      <c r="T41" s="49">
        <v>-1.18</v>
      </c>
      <c r="U41" s="30" t="s">
        <v>42</v>
      </c>
      <c r="V41" s="28">
        <v>45897</v>
      </c>
      <c r="W41" s="27">
        <v>0.82</v>
      </c>
      <c r="X41" s="27">
        <v>46.5</v>
      </c>
      <c r="Y41" s="49">
        <v>-1.41</v>
      </c>
      <c r="Z41" s="30" t="s">
        <v>42</v>
      </c>
      <c r="AA41" s="28">
        <v>45904</v>
      </c>
      <c r="AB41" s="27">
        <v>0.82</v>
      </c>
      <c r="AC41" s="27">
        <v>40</v>
      </c>
      <c r="AD41" s="49">
        <v>-1.0900000000000001</v>
      </c>
      <c r="AE41" s="35"/>
      <c r="AF41" s="26"/>
      <c r="AG41" s="26"/>
      <c r="AH41" s="26"/>
      <c r="AI41" s="40"/>
      <c r="AJ41" s="30"/>
      <c r="AK41" s="27"/>
      <c r="AL41" s="27"/>
      <c r="AM41" s="27"/>
      <c r="AN41" s="49"/>
      <c r="AO41" s="30"/>
      <c r="AP41" s="27"/>
      <c r="AQ41" s="27"/>
      <c r="AR41" s="27"/>
      <c r="AS41" s="49"/>
      <c r="AT41" s="30"/>
      <c r="AU41" s="27"/>
      <c r="AV41" s="27"/>
      <c r="AW41" s="27"/>
      <c r="AX41" s="49"/>
      <c r="AY41" s="30" t="s">
        <v>42</v>
      </c>
      <c r="AZ41" s="28">
        <v>45946</v>
      </c>
      <c r="BA41" s="27">
        <v>0.74</v>
      </c>
      <c r="BB41" s="27">
        <v>34.799999999999997</v>
      </c>
      <c r="BC41" s="49">
        <v>-0.83</v>
      </c>
      <c r="BD41" s="30" t="s">
        <v>42</v>
      </c>
      <c r="BE41" s="28">
        <v>45953</v>
      </c>
      <c r="BF41" s="27">
        <v>0.69</v>
      </c>
      <c r="BG41" s="27">
        <v>38.6</v>
      </c>
      <c r="BH41" s="49">
        <v>-1.06</v>
      </c>
      <c r="BI41" s="121" t="s">
        <v>42</v>
      </c>
      <c r="BJ41" s="117">
        <v>45960</v>
      </c>
      <c r="BK41" s="116">
        <v>0.75</v>
      </c>
      <c r="BL41" s="116">
        <v>38.1</v>
      </c>
      <c r="BM41" s="133">
        <v>-0.96</v>
      </c>
      <c r="BN41" s="141" t="s">
        <v>42</v>
      </c>
      <c r="BO41" s="135">
        <v>45967</v>
      </c>
      <c r="BP41" s="136">
        <v>0.87</v>
      </c>
      <c r="BQ41" s="136">
        <v>38.5</v>
      </c>
      <c r="BR41" s="151">
        <v>-1.37</v>
      </c>
      <c r="BS41" s="141" t="s">
        <v>42</v>
      </c>
      <c r="BT41" s="135">
        <v>45974</v>
      </c>
      <c r="BU41" s="136">
        <v>0.87</v>
      </c>
      <c r="BV41" s="136">
        <v>38.799999999999997</v>
      </c>
      <c r="BW41" s="151">
        <v>-1.32</v>
      </c>
      <c r="BX41" s="141" t="s">
        <v>42</v>
      </c>
      <c r="BY41" s="135">
        <v>45981</v>
      </c>
      <c r="BZ41" s="136">
        <v>0.87</v>
      </c>
      <c r="CA41" s="136">
        <v>39.799999999999997</v>
      </c>
      <c r="CB41" s="142">
        <v>-1.19</v>
      </c>
      <c r="DB41" s="79" t="s">
        <v>42</v>
      </c>
      <c r="DC41" s="64">
        <f t="shared" si="4"/>
        <v>0.81083333333333341</v>
      </c>
      <c r="DD41" s="25">
        <f t="shared" si="5"/>
        <v>41.766666666666673</v>
      </c>
      <c r="DE41" s="63">
        <f t="shared" si="6"/>
        <v>-1.1116666666666668</v>
      </c>
      <c r="DF41" s="64">
        <f t="shared" si="7"/>
        <v>7.2970195272353447E-2</v>
      </c>
      <c r="DG41" s="25">
        <f t="shared" si="8"/>
        <v>-4.7086991221069643E-2</v>
      </c>
      <c r="DH41" s="63">
        <f t="shared" si="9"/>
        <v>7.046476761619172E-2</v>
      </c>
      <c r="DI41" s="64">
        <f t="shared" si="10"/>
        <v>0</v>
      </c>
      <c r="DJ41" s="25">
        <f t="shared" si="11"/>
        <v>2.5773195876288662E-2</v>
      </c>
      <c r="DK41" s="63">
        <f t="shared" si="12"/>
        <v>-9.8484848484848564E-2</v>
      </c>
      <c r="DL41" s="64">
        <f t="shared" si="13"/>
        <v>0.14473684210526314</v>
      </c>
      <c r="DM41" s="25">
        <f t="shared" si="14"/>
        <v>-0.16910229645093949</v>
      </c>
      <c r="DN41" s="63">
        <f t="shared" si="15"/>
        <v>0.27956989247311814</v>
      </c>
    </row>
    <row r="42" spans="1:118" x14ac:dyDescent="0.2">
      <c r="A42" s="30" t="s">
        <v>43</v>
      </c>
      <c r="B42" s="28">
        <v>45861</v>
      </c>
      <c r="C42" s="27">
        <v>0.68</v>
      </c>
      <c r="D42" s="27">
        <v>43.7</v>
      </c>
      <c r="E42" s="49">
        <v>-1.45</v>
      </c>
      <c r="F42" s="55" t="s">
        <v>43</v>
      </c>
      <c r="G42" s="51">
        <v>45870</v>
      </c>
      <c r="H42" s="52">
        <v>0.74</v>
      </c>
      <c r="I42" s="52">
        <v>46.7</v>
      </c>
      <c r="J42" s="76">
        <v>-1.42</v>
      </c>
      <c r="K42" s="30" t="s">
        <v>43</v>
      </c>
      <c r="L42" s="28">
        <v>45883</v>
      </c>
      <c r="M42" s="27">
        <v>0.85</v>
      </c>
      <c r="N42" s="27">
        <v>43.3</v>
      </c>
      <c r="O42" s="49">
        <v>-1.29</v>
      </c>
      <c r="P42" s="30" t="s">
        <v>43</v>
      </c>
      <c r="Q42" s="28">
        <v>45889</v>
      </c>
      <c r="R42" s="27">
        <v>0.98</v>
      </c>
      <c r="S42" s="27">
        <v>44.1</v>
      </c>
      <c r="T42" s="49">
        <v>-1.28</v>
      </c>
      <c r="U42" s="30" t="s">
        <v>43</v>
      </c>
      <c r="V42" s="28">
        <v>45897</v>
      </c>
      <c r="W42" s="27">
        <v>0.9</v>
      </c>
      <c r="X42" s="27">
        <v>41.1</v>
      </c>
      <c r="Y42" s="49">
        <v>-1.17</v>
      </c>
      <c r="Z42" s="30" t="s">
        <v>43</v>
      </c>
      <c r="AA42" s="28">
        <v>45904</v>
      </c>
      <c r="AB42" s="27">
        <v>1.03</v>
      </c>
      <c r="AC42" s="27">
        <v>40.4</v>
      </c>
      <c r="AD42" s="49">
        <v>-1.1100000000000001</v>
      </c>
      <c r="AE42" s="30" t="s">
        <v>43</v>
      </c>
      <c r="AF42" s="28">
        <v>45918</v>
      </c>
      <c r="AG42" s="27">
        <v>1.02</v>
      </c>
      <c r="AH42" s="27">
        <v>41.8</v>
      </c>
      <c r="AI42" s="49">
        <v>-1.1299999999999999</v>
      </c>
      <c r="AJ42" s="30" t="s">
        <v>43</v>
      </c>
      <c r="AK42" s="28">
        <v>45925</v>
      </c>
      <c r="AL42" s="27">
        <v>1.02</v>
      </c>
      <c r="AM42" s="27">
        <v>37.299999999999997</v>
      </c>
      <c r="AN42" s="49">
        <v>-1.05</v>
      </c>
      <c r="AO42" s="30" t="s">
        <v>43</v>
      </c>
      <c r="AP42" s="28">
        <v>45932</v>
      </c>
      <c r="AQ42" s="27">
        <v>0.96</v>
      </c>
      <c r="AR42" s="27">
        <v>39.1</v>
      </c>
      <c r="AS42" s="49">
        <v>-0.96</v>
      </c>
      <c r="AT42" s="30" t="s">
        <v>43</v>
      </c>
      <c r="AU42" s="28">
        <v>45939</v>
      </c>
      <c r="AV42" s="27">
        <v>1.02</v>
      </c>
      <c r="AW42" s="27">
        <v>41.2</v>
      </c>
      <c r="AX42" s="49">
        <v>-1.1299999999999999</v>
      </c>
      <c r="AY42" s="30" t="s">
        <v>43</v>
      </c>
      <c r="AZ42" s="28">
        <v>45946</v>
      </c>
      <c r="BA42" s="27">
        <v>0.88</v>
      </c>
      <c r="BB42" s="27">
        <v>40.700000000000003</v>
      </c>
      <c r="BC42" s="49">
        <v>-1.0900000000000001</v>
      </c>
      <c r="BD42" s="30" t="s">
        <v>43</v>
      </c>
      <c r="BE42" s="28">
        <v>45953</v>
      </c>
      <c r="BF42" s="27">
        <v>0.96</v>
      </c>
      <c r="BG42" s="27">
        <v>42.1</v>
      </c>
      <c r="BH42" s="49">
        <v>-1.18</v>
      </c>
      <c r="BI42" s="121" t="s">
        <v>43</v>
      </c>
      <c r="BJ42" s="117">
        <v>45960</v>
      </c>
      <c r="BK42" s="116">
        <v>0.93</v>
      </c>
      <c r="BL42" s="116">
        <v>38.9</v>
      </c>
      <c r="BM42" s="133">
        <v>-1.1399999999999999</v>
      </c>
      <c r="BN42" s="141" t="s">
        <v>43</v>
      </c>
      <c r="BO42" s="135">
        <v>45967</v>
      </c>
      <c r="BP42" s="136">
        <v>1.08</v>
      </c>
      <c r="BQ42" s="136">
        <v>40.799999999999997</v>
      </c>
      <c r="BR42" s="151">
        <v>-1.21</v>
      </c>
      <c r="BS42" s="141" t="s">
        <v>43</v>
      </c>
      <c r="BT42" s="135">
        <v>45974</v>
      </c>
      <c r="BU42" s="136">
        <v>0.88</v>
      </c>
      <c r="BV42" s="136">
        <v>36.5</v>
      </c>
      <c r="BW42" s="151">
        <v>-1.06</v>
      </c>
      <c r="BX42" s="141" t="s">
        <v>43</v>
      </c>
      <c r="BY42" s="135">
        <v>45981</v>
      </c>
      <c r="BZ42" s="136">
        <v>0.98</v>
      </c>
      <c r="CA42" s="136">
        <v>38</v>
      </c>
      <c r="CB42" s="142">
        <v>-0.98</v>
      </c>
      <c r="DB42" s="79" t="s">
        <v>43</v>
      </c>
      <c r="DC42" s="64">
        <f t="shared" si="4"/>
        <v>0.93187500000000001</v>
      </c>
      <c r="DD42" s="25">
        <f t="shared" si="5"/>
        <v>40.981249999999996</v>
      </c>
      <c r="DE42" s="63">
        <f t="shared" si="6"/>
        <v>-1.1656250000000001</v>
      </c>
      <c r="DF42" s="64">
        <f t="shared" si="7"/>
        <v>5.1643192488262879E-2</v>
      </c>
      <c r="DG42" s="25">
        <f t="shared" si="8"/>
        <v>-7.2746682934268628E-2</v>
      </c>
      <c r="DH42" s="63">
        <f t="shared" si="9"/>
        <v>-0.15924932975871325</v>
      </c>
      <c r="DI42" s="64">
        <f t="shared" si="10"/>
        <v>0.1136363636363636</v>
      </c>
      <c r="DJ42" s="25">
        <f t="shared" si="11"/>
        <v>4.1095890410958902E-2</v>
      </c>
      <c r="DK42" s="63">
        <f t="shared" si="12"/>
        <v>-7.5471698113207614E-2</v>
      </c>
      <c r="DL42" s="64">
        <f t="shared" si="13"/>
        <v>0.44117647058823517</v>
      </c>
      <c r="DM42" s="25">
        <f t="shared" si="14"/>
        <v>-0.1304347826086957</v>
      </c>
      <c r="DN42" s="63">
        <f t="shared" si="15"/>
        <v>-0.32413793103448274</v>
      </c>
    </row>
    <row r="43" spans="1:118" x14ac:dyDescent="0.2">
      <c r="A43" s="30" t="s">
        <v>75</v>
      </c>
      <c r="B43" s="93">
        <v>45883</v>
      </c>
      <c r="C43" s="27">
        <v>0.93</v>
      </c>
      <c r="D43" s="27">
        <v>42.1</v>
      </c>
      <c r="E43" s="31">
        <v>-1.41</v>
      </c>
      <c r="F43" s="55"/>
      <c r="G43" s="51"/>
      <c r="H43" s="52"/>
      <c r="I43" s="52"/>
      <c r="J43" s="76"/>
      <c r="K43" s="30"/>
      <c r="L43" s="28"/>
      <c r="M43" s="27"/>
      <c r="N43" s="27"/>
      <c r="O43" s="49"/>
      <c r="P43" s="30"/>
      <c r="Q43" s="28"/>
      <c r="R43" s="27"/>
      <c r="S43" s="27"/>
      <c r="T43" s="49"/>
      <c r="U43" s="30"/>
      <c r="V43" s="28"/>
      <c r="W43" s="27"/>
      <c r="X43" s="27"/>
      <c r="Y43" s="49"/>
      <c r="Z43" s="30"/>
      <c r="AA43" s="28"/>
      <c r="AB43" s="27"/>
      <c r="AC43" s="27"/>
      <c r="AD43" s="49"/>
      <c r="AE43" s="30"/>
      <c r="AF43" s="28"/>
      <c r="AG43" s="27"/>
      <c r="AH43" s="27"/>
      <c r="AI43" s="49"/>
      <c r="AJ43" s="30"/>
      <c r="AK43" s="28"/>
      <c r="AL43" s="27"/>
      <c r="AM43" s="27"/>
      <c r="AN43" s="49"/>
      <c r="AO43" s="30"/>
      <c r="AP43" s="28"/>
      <c r="AQ43" s="27"/>
      <c r="AR43" s="27"/>
      <c r="AS43" s="49"/>
      <c r="AT43" s="30"/>
      <c r="AU43" s="28"/>
      <c r="AV43" s="27"/>
      <c r="AW43" s="27"/>
      <c r="AX43" s="49"/>
      <c r="AY43" s="30" t="s">
        <v>75</v>
      </c>
      <c r="AZ43" s="28">
        <v>45946</v>
      </c>
      <c r="BA43" s="27">
        <v>0.9</v>
      </c>
      <c r="BB43" s="27">
        <v>45.6</v>
      </c>
      <c r="BC43" s="49">
        <v>-1.63</v>
      </c>
      <c r="BD43" s="30" t="s">
        <v>75</v>
      </c>
      <c r="BE43" s="28">
        <v>45953</v>
      </c>
      <c r="BF43" s="27">
        <v>1.0900000000000001</v>
      </c>
      <c r="BG43" s="27">
        <v>47.2</v>
      </c>
      <c r="BH43" s="49">
        <v>-1.35</v>
      </c>
      <c r="BI43" s="121" t="s">
        <v>75</v>
      </c>
      <c r="BJ43" s="117">
        <v>45960</v>
      </c>
      <c r="BK43" s="116">
        <v>1.22</v>
      </c>
      <c r="BL43" s="116">
        <v>48</v>
      </c>
      <c r="BM43" s="133">
        <v>-1.31</v>
      </c>
      <c r="BN43" s="141" t="s">
        <v>75</v>
      </c>
      <c r="BO43" s="135">
        <v>45967</v>
      </c>
      <c r="BP43" s="136">
        <v>1.1599999999999999</v>
      </c>
      <c r="BQ43" s="136">
        <v>43.6</v>
      </c>
      <c r="BR43" s="151">
        <v>-1.28</v>
      </c>
      <c r="BS43" s="141" t="s">
        <v>75</v>
      </c>
      <c r="BT43" s="135">
        <v>45974</v>
      </c>
      <c r="BU43" s="136">
        <v>1.05</v>
      </c>
      <c r="BV43" s="136">
        <v>45.6</v>
      </c>
      <c r="BW43" s="151">
        <v>-1.34</v>
      </c>
      <c r="BX43" s="30"/>
      <c r="BY43" s="27"/>
      <c r="BZ43" s="27"/>
      <c r="CA43" s="27"/>
      <c r="CB43" s="31"/>
      <c r="DB43" s="79" t="s">
        <v>75</v>
      </c>
      <c r="DC43" s="64">
        <f t="shared" si="4"/>
        <v>1.0583333333333333</v>
      </c>
      <c r="DD43" s="25">
        <f t="shared" si="5"/>
        <v>45.35</v>
      </c>
      <c r="DE43" s="63">
        <f t="shared" si="6"/>
        <v>-1.3866666666666669</v>
      </c>
      <c r="DF43" s="64"/>
      <c r="DG43" s="25"/>
      <c r="DH43" s="63"/>
      <c r="DI43" s="64"/>
      <c r="DJ43" s="25"/>
      <c r="DK43" s="63"/>
      <c r="DL43" s="64"/>
      <c r="DM43" s="25"/>
      <c r="DN43" s="63"/>
    </row>
    <row r="44" spans="1:118" x14ac:dyDescent="0.2">
      <c r="A44" s="30" t="s">
        <v>44</v>
      </c>
      <c r="B44" s="28">
        <v>45861</v>
      </c>
      <c r="C44" s="27">
        <v>1.25</v>
      </c>
      <c r="D44" s="27">
        <v>52</v>
      </c>
      <c r="E44" s="49">
        <v>-1.38</v>
      </c>
      <c r="F44" s="55" t="s">
        <v>44</v>
      </c>
      <c r="G44" s="51">
        <v>45870</v>
      </c>
      <c r="H44" s="52">
        <v>1.05</v>
      </c>
      <c r="I44" s="52">
        <v>51.1</v>
      </c>
      <c r="J44" s="76">
        <v>-1.21</v>
      </c>
      <c r="K44" s="30" t="s">
        <v>44</v>
      </c>
      <c r="L44" s="28">
        <v>45883</v>
      </c>
      <c r="M44" s="27">
        <v>1.3</v>
      </c>
      <c r="N44" s="27">
        <v>47.5</v>
      </c>
      <c r="O44" s="49">
        <v>-1.23</v>
      </c>
      <c r="P44" s="30" t="s">
        <v>44</v>
      </c>
      <c r="Q44" s="28">
        <v>45889</v>
      </c>
      <c r="R44" s="27">
        <v>1.31</v>
      </c>
      <c r="S44" s="27">
        <v>51.5</v>
      </c>
      <c r="T44" s="49">
        <v>-1.29</v>
      </c>
      <c r="U44" s="30" t="s">
        <v>44</v>
      </c>
      <c r="V44" s="28">
        <v>45897</v>
      </c>
      <c r="W44" s="27">
        <v>1.23</v>
      </c>
      <c r="X44" s="27">
        <v>52.3</v>
      </c>
      <c r="Y44" s="49">
        <v>-1.4</v>
      </c>
      <c r="Z44" s="30" t="s">
        <v>44</v>
      </c>
      <c r="AA44" s="28">
        <v>45904</v>
      </c>
      <c r="AB44" s="27">
        <v>1.25</v>
      </c>
      <c r="AC44" s="27">
        <v>46.3</v>
      </c>
      <c r="AD44" s="49">
        <v>-1.1200000000000001</v>
      </c>
      <c r="AE44" s="30" t="s">
        <v>44</v>
      </c>
      <c r="AF44" s="28">
        <v>45918</v>
      </c>
      <c r="AG44" s="27">
        <v>1.18</v>
      </c>
      <c r="AH44" s="27">
        <v>50</v>
      </c>
      <c r="AI44" s="49">
        <v>-1.23</v>
      </c>
      <c r="AJ44" s="30" t="s">
        <v>44</v>
      </c>
      <c r="AK44" s="28">
        <v>45925</v>
      </c>
      <c r="AL44" s="27">
        <v>1.35</v>
      </c>
      <c r="AM44" s="27">
        <v>50.1</v>
      </c>
      <c r="AN44" s="49">
        <v>-1.24</v>
      </c>
      <c r="AO44" s="30" t="s">
        <v>44</v>
      </c>
      <c r="AP44" s="28">
        <v>45932</v>
      </c>
      <c r="AQ44" s="27">
        <v>1.21</v>
      </c>
      <c r="AR44" s="27">
        <v>45.2</v>
      </c>
      <c r="AS44" s="49">
        <v>-1.1599999999999999</v>
      </c>
      <c r="AT44" s="30" t="s">
        <v>44</v>
      </c>
      <c r="AU44" s="28">
        <v>45939</v>
      </c>
      <c r="AV44" s="27">
        <v>1.24</v>
      </c>
      <c r="AW44" s="27">
        <v>44.4</v>
      </c>
      <c r="AX44" s="49">
        <v>-1.1299999999999999</v>
      </c>
      <c r="AY44" s="30" t="s">
        <v>44</v>
      </c>
      <c r="AZ44" s="28">
        <v>45946</v>
      </c>
      <c r="BA44" s="27">
        <v>1.37</v>
      </c>
      <c r="BB44" s="27">
        <v>49.9</v>
      </c>
      <c r="BC44" s="49">
        <v>-1.26</v>
      </c>
      <c r="BD44" s="30" t="s">
        <v>44</v>
      </c>
      <c r="BE44" s="28">
        <v>45953</v>
      </c>
      <c r="BF44" s="27">
        <v>1.41</v>
      </c>
      <c r="BG44" s="27">
        <v>47.9</v>
      </c>
      <c r="BH44" s="49">
        <v>-1.1200000000000001</v>
      </c>
      <c r="BI44" s="121" t="s">
        <v>44</v>
      </c>
      <c r="BJ44" s="117">
        <v>45960</v>
      </c>
      <c r="BK44" s="116">
        <v>1.27</v>
      </c>
      <c r="BL44" s="116">
        <v>44.4</v>
      </c>
      <c r="BM44" s="133">
        <v>-1.03</v>
      </c>
      <c r="BN44" s="141" t="s">
        <v>44</v>
      </c>
      <c r="BO44" s="135">
        <v>45967</v>
      </c>
      <c r="BP44" s="136">
        <v>1.36</v>
      </c>
      <c r="BQ44" s="136">
        <v>46.4</v>
      </c>
      <c r="BR44" s="151">
        <v>-1.02</v>
      </c>
      <c r="BS44" s="141" t="s">
        <v>44</v>
      </c>
      <c r="BT44" s="135">
        <v>45974</v>
      </c>
      <c r="BU44" s="136">
        <v>1.18</v>
      </c>
      <c r="BV44" s="136">
        <v>40.299999999999997</v>
      </c>
      <c r="BW44" s="151">
        <v>-1.05</v>
      </c>
      <c r="BX44" s="141" t="s">
        <v>44</v>
      </c>
      <c r="BY44" s="135">
        <v>45981</v>
      </c>
      <c r="BZ44" s="136">
        <v>1.36</v>
      </c>
      <c r="CA44" s="136">
        <v>44.5</v>
      </c>
      <c r="CB44" s="142">
        <v>-1.05</v>
      </c>
      <c r="DB44" s="79" t="s">
        <v>44</v>
      </c>
      <c r="DC44" s="64">
        <f t="shared" si="4"/>
        <v>1.2699999999999998</v>
      </c>
      <c r="DD44" s="25">
        <f t="shared" si="5"/>
        <v>47.73749999999999</v>
      </c>
      <c r="DE44" s="63">
        <f t="shared" si="6"/>
        <v>-1.1825000000000001</v>
      </c>
      <c r="DF44" s="64">
        <f t="shared" si="7"/>
        <v>7.0866141732283713E-2</v>
      </c>
      <c r="DG44" s="25">
        <f t="shared" si="8"/>
        <v>-6.7818800733176032E-2</v>
      </c>
      <c r="DH44" s="63">
        <f t="shared" si="9"/>
        <v>-0.11205073995771675</v>
      </c>
      <c r="DI44" s="64">
        <f t="shared" si="10"/>
        <v>0.15254237288135608</v>
      </c>
      <c r="DJ44" s="25">
        <f t="shared" si="11"/>
        <v>0.10421836228287849</v>
      </c>
      <c r="DK44" s="63">
        <f t="shared" si="12"/>
        <v>0</v>
      </c>
      <c r="DL44" s="64">
        <f t="shared" si="13"/>
        <v>8.8000000000000078E-2</v>
      </c>
      <c r="DM44" s="25">
        <f t="shared" si="14"/>
        <v>-0.14423076923076922</v>
      </c>
      <c r="DN44" s="63">
        <f t="shared" si="15"/>
        <v>-0.23913043478260859</v>
      </c>
    </row>
    <row r="45" spans="1:118" ht="17" thickBot="1" x14ac:dyDescent="0.25">
      <c r="A45" s="43" t="s">
        <v>45</v>
      </c>
      <c r="B45" s="44">
        <v>45861</v>
      </c>
      <c r="C45" s="45">
        <v>0.48</v>
      </c>
      <c r="D45" s="45">
        <v>27.6</v>
      </c>
      <c r="E45" s="50">
        <v>-1.1000000000000001</v>
      </c>
      <c r="F45" s="56" t="s">
        <v>45</v>
      </c>
      <c r="G45" s="57">
        <v>45870</v>
      </c>
      <c r="H45" s="58">
        <v>0.55000000000000004</v>
      </c>
      <c r="I45" s="58">
        <v>29.7</v>
      </c>
      <c r="J45" s="77">
        <v>-1.4</v>
      </c>
      <c r="K45" s="43" t="s">
        <v>45</v>
      </c>
      <c r="L45" s="44">
        <v>45883</v>
      </c>
      <c r="M45" s="45">
        <v>0.5</v>
      </c>
      <c r="N45" s="45">
        <v>27.9</v>
      </c>
      <c r="O45" s="50">
        <v>-1.22</v>
      </c>
      <c r="P45" s="43" t="s">
        <v>45</v>
      </c>
      <c r="Q45" s="44">
        <v>45889</v>
      </c>
      <c r="R45" s="45">
        <v>0.51</v>
      </c>
      <c r="S45" s="45">
        <v>28.3</v>
      </c>
      <c r="T45" s="50">
        <v>-1.23</v>
      </c>
      <c r="U45" s="43" t="s">
        <v>45</v>
      </c>
      <c r="V45" s="44">
        <v>45897</v>
      </c>
      <c r="W45" s="45">
        <v>0.56999999999999995</v>
      </c>
      <c r="X45" s="45">
        <v>29.5</v>
      </c>
      <c r="Y45" s="50">
        <v>-1.27</v>
      </c>
      <c r="Z45" s="43" t="s">
        <v>45</v>
      </c>
      <c r="AA45" s="44">
        <v>45904</v>
      </c>
      <c r="AB45" s="45">
        <v>0.56000000000000005</v>
      </c>
      <c r="AC45" s="45">
        <v>27.4</v>
      </c>
      <c r="AD45" s="50">
        <v>-1.01</v>
      </c>
      <c r="AE45" s="43" t="s">
        <v>45</v>
      </c>
      <c r="AF45" s="44">
        <v>45918</v>
      </c>
      <c r="AG45" s="45">
        <v>0.56999999999999995</v>
      </c>
      <c r="AH45" s="45">
        <v>28.1</v>
      </c>
      <c r="AI45" s="50">
        <v>-1.21</v>
      </c>
      <c r="AJ45" s="43" t="s">
        <v>45</v>
      </c>
      <c r="AK45" s="44">
        <v>45925</v>
      </c>
      <c r="AL45" s="45">
        <v>0.59</v>
      </c>
      <c r="AM45" s="45">
        <v>30.4</v>
      </c>
      <c r="AN45" s="50">
        <v>-1.3</v>
      </c>
      <c r="AO45" s="43" t="s">
        <v>45</v>
      </c>
      <c r="AP45" s="44">
        <v>45932</v>
      </c>
      <c r="AQ45" s="45">
        <v>0.51</v>
      </c>
      <c r="AR45" s="45">
        <v>27.6</v>
      </c>
      <c r="AS45" s="50">
        <v>-1.1200000000000001</v>
      </c>
      <c r="AT45" s="43" t="s">
        <v>45</v>
      </c>
      <c r="AU45" s="44">
        <v>45939</v>
      </c>
      <c r="AV45" s="45">
        <v>0.39</v>
      </c>
      <c r="AW45" s="45">
        <v>26.1</v>
      </c>
      <c r="AX45" s="50">
        <v>-0.83</v>
      </c>
      <c r="AY45" s="43" t="s">
        <v>45</v>
      </c>
      <c r="AZ45" s="44">
        <v>45946</v>
      </c>
      <c r="BA45" s="45">
        <v>0.52</v>
      </c>
      <c r="BB45" s="45">
        <v>26.9</v>
      </c>
      <c r="BC45" s="50">
        <v>-1.23</v>
      </c>
      <c r="BD45" s="43" t="s">
        <v>45</v>
      </c>
      <c r="BE45" s="44">
        <v>45953</v>
      </c>
      <c r="BF45" s="45">
        <v>0.56000000000000005</v>
      </c>
      <c r="BG45" s="45">
        <v>26.1</v>
      </c>
      <c r="BH45" s="50">
        <v>-1.24</v>
      </c>
      <c r="BI45" s="123" t="s">
        <v>45</v>
      </c>
      <c r="BJ45" s="124">
        <v>45960</v>
      </c>
      <c r="BK45" s="125">
        <v>0.53</v>
      </c>
      <c r="BL45" s="125">
        <v>26.5</v>
      </c>
      <c r="BM45" s="134">
        <v>-0.81</v>
      </c>
      <c r="BN45" s="143" t="s">
        <v>45</v>
      </c>
      <c r="BO45" s="144">
        <v>45967</v>
      </c>
      <c r="BP45" s="145">
        <v>0.5</v>
      </c>
      <c r="BQ45" s="145">
        <v>25.5</v>
      </c>
      <c r="BR45" s="152">
        <v>-1.05</v>
      </c>
      <c r="BS45" s="143" t="s">
        <v>45</v>
      </c>
      <c r="BT45" s="144">
        <v>45974</v>
      </c>
      <c r="BU45" s="145">
        <v>0.54</v>
      </c>
      <c r="BV45" s="145">
        <v>27.2</v>
      </c>
      <c r="BW45" s="152">
        <v>-1.1000000000000001</v>
      </c>
      <c r="BX45" s="143" t="s">
        <v>45</v>
      </c>
      <c r="BY45" s="144">
        <v>45981</v>
      </c>
      <c r="BZ45" s="145">
        <v>0.53</v>
      </c>
      <c r="CA45" s="145">
        <v>25.5</v>
      </c>
      <c r="CB45" s="146">
        <v>-0.99</v>
      </c>
      <c r="DB45" s="80" t="s">
        <v>45</v>
      </c>
      <c r="DC45" s="114">
        <f t="shared" si="4"/>
        <v>0.52562500000000001</v>
      </c>
      <c r="DD45" s="153">
        <f t="shared" si="5"/>
        <v>27.518750000000001</v>
      </c>
      <c r="DE45" s="73">
        <f t="shared" si="6"/>
        <v>-1.131875</v>
      </c>
      <c r="DF45" s="114">
        <f t="shared" si="7"/>
        <v>8.3234244946492602E-3</v>
      </c>
      <c r="DG45" s="153">
        <f t="shared" si="8"/>
        <v>-7.3359073359073379E-2</v>
      </c>
      <c r="DH45" s="73">
        <f t="shared" si="9"/>
        <v>-0.12534511319712863</v>
      </c>
      <c r="DI45" s="114">
        <f t="shared" si="10"/>
        <v>-1.8518518518518535E-2</v>
      </c>
      <c r="DJ45" s="153">
        <f t="shared" si="11"/>
        <v>-6.2499999999999972E-2</v>
      </c>
      <c r="DK45" s="73">
        <f t="shared" si="12"/>
        <v>-0.10000000000000007</v>
      </c>
      <c r="DL45" s="114">
        <f t="shared" si="13"/>
        <v>0.10416666666666677</v>
      </c>
      <c r="DM45" s="153">
        <f t="shared" si="14"/>
        <v>-7.6086956521739177E-2</v>
      </c>
      <c r="DN45" s="73">
        <f t="shared" si="15"/>
        <v>-0.10000000000000007</v>
      </c>
    </row>
    <row r="46" spans="1:118" ht="17" thickBot="1" x14ac:dyDescent="0.25">
      <c r="A46" s="8" t="s">
        <v>48</v>
      </c>
      <c r="C46" s="4">
        <f>AVERAGE(C2:C45)</f>
        <v>0.86069767441860445</v>
      </c>
      <c r="D46" s="4">
        <f>AVERAGE(D2:D45)</f>
        <v>41.911627906976747</v>
      </c>
      <c r="E46" s="4">
        <f>AVERAGE(E2:E45)</f>
        <v>-1.3006976744186047</v>
      </c>
      <c r="F46" s="8" t="s">
        <v>48</v>
      </c>
      <c r="H46" s="4">
        <f>AVERAGE(H2:H45)</f>
        <v>0.81281250000000027</v>
      </c>
      <c r="I46" s="4">
        <f>AVERAGE(I2:I45)</f>
        <v>41.556249999999999</v>
      </c>
      <c r="J46" s="4">
        <f>AVERAGE(J2:J45)</f>
        <v>-1.3162499999999999</v>
      </c>
      <c r="K46" s="8" t="s">
        <v>48</v>
      </c>
      <c r="M46" s="4">
        <f>AVERAGE(M2:M45)</f>
        <v>0.87263157894736831</v>
      </c>
      <c r="N46" s="4">
        <f>AVERAGE(N2:N45)</f>
        <v>39.976315789473695</v>
      </c>
      <c r="O46" s="4">
        <f>AVERAGE(O2:O45)</f>
        <v>-1.2421052631578944</v>
      </c>
      <c r="P46" s="8" t="s">
        <v>48</v>
      </c>
      <c r="R46" s="4">
        <f>AVERAGE(R2:R45)</f>
        <v>0.88105263157894731</v>
      </c>
      <c r="S46" s="4">
        <f>AVERAGE(S2:S45)</f>
        <v>40.471052631578935</v>
      </c>
      <c r="T46" s="4">
        <f>AVERAGE(T2:T45)</f>
        <v>-1.2642105263157892</v>
      </c>
      <c r="U46" s="8" t="s">
        <v>48</v>
      </c>
      <c r="W46" s="4">
        <f>AVERAGE(W2:W45)</f>
        <v>0.88783783783783765</v>
      </c>
      <c r="X46" s="4">
        <f>AVERAGE(X2:X45)</f>
        <v>40.048648648648644</v>
      </c>
      <c r="Y46" s="4">
        <f>AVERAGE(Y2:Y45)</f>
        <v>-1.2427027027027029</v>
      </c>
      <c r="Z46" s="8" t="s">
        <v>48</v>
      </c>
      <c r="AA46"/>
      <c r="AB46" s="4">
        <f>AVERAGE(AB2:AB45)</f>
        <v>0.88371428571428567</v>
      </c>
      <c r="AC46" s="4">
        <f>AVERAGE(AC2:AC45)</f>
        <v>39.334285714285713</v>
      </c>
      <c r="AD46" s="4">
        <f>AVERAGE(AD2:AD45)</f>
        <v>-1.208</v>
      </c>
      <c r="AE46" s="8" t="s">
        <v>48</v>
      </c>
      <c r="AG46" s="4">
        <f>AVERAGE(AG2:AG45)</f>
        <v>0.86866666666666659</v>
      </c>
      <c r="AH46" s="4">
        <f>AVERAGE(AH2:AH45)</f>
        <v>39.346666666666664</v>
      </c>
      <c r="AI46" s="4">
        <f>AVERAGE(AI2:AI45)</f>
        <v>-1.2340000000000002</v>
      </c>
      <c r="AJ46" s="8" t="s">
        <v>48</v>
      </c>
      <c r="AK46"/>
      <c r="AL46" s="4">
        <f>AVERAGE(AL2:AL45)</f>
        <v>0.88264705882352956</v>
      </c>
      <c r="AM46" s="4">
        <f>AVERAGE(AM2:AM45)</f>
        <v>39.10294117647058</v>
      </c>
      <c r="AN46" s="4">
        <f>AVERAGE(AN2:AN45)</f>
        <v>-1.2335294117647055</v>
      </c>
      <c r="AO46" s="15" t="s">
        <v>48</v>
      </c>
      <c r="AQ46" s="4">
        <f>AVERAGE(AQ2:AQ45)</f>
        <v>0.85583333333333345</v>
      </c>
      <c r="AR46" s="4">
        <f>AVERAGE(AR2:AR45)</f>
        <v>38.480555555555561</v>
      </c>
      <c r="AS46" s="4">
        <f>AVERAGE(AS2:AS45)</f>
        <v>-1.2255555555555551</v>
      </c>
      <c r="AT46" s="15" t="s">
        <v>48</v>
      </c>
      <c r="AV46" s="4">
        <f>AVERAGE(AV2:AV45)</f>
        <v>0.87194444444444441</v>
      </c>
      <c r="AW46" s="4">
        <f>AVERAGE(AW2:AW45)</f>
        <v>39.147222222222226</v>
      </c>
      <c r="AX46" s="4">
        <f>AVERAGE(AX2:AX45)</f>
        <v>-1.2066666666666668</v>
      </c>
      <c r="AY46" s="15" t="s">
        <v>48</v>
      </c>
      <c r="BA46" s="4">
        <f>AVERAGE(BA2:BA45)</f>
        <v>0.90424242424242429</v>
      </c>
      <c r="BB46" s="4">
        <f>AVERAGE(BB2:BB45)</f>
        <v>40.596969696969701</v>
      </c>
      <c r="BC46" s="4">
        <f>AVERAGE(BC2:BC45)</f>
        <v>-1.2403030303030302</v>
      </c>
      <c r="BD46" s="15" t="s">
        <v>48</v>
      </c>
      <c r="BF46" s="4">
        <f>AVERAGE(BF2:BF45)</f>
        <v>0.86857142857142855</v>
      </c>
      <c r="BG46" s="4">
        <f>AVERAGE(BG2:BG45)</f>
        <v>39.228571428571421</v>
      </c>
      <c r="BH46" s="4">
        <f>AVERAGE(BH2:BH45)</f>
        <v>-1.2145714285714286</v>
      </c>
      <c r="BI46" s="15" t="s">
        <v>48</v>
      </c>
      <c r="BJ46" s="12"/>
      <c r="BK46" s="4">
        <f>AVERAGE(BK2:BK45)</f>
        <v>0.86666666666666659</v>
      </c>
      <c r="BL46" s="4">
        <f>AVERAGE(BL2:BL45)</f>
        <v>38.06111111111111</v>
      </c>
      <c r="BM46" s="4">
        <f>AVERAGE(BM2:BM45)</f>
        <v>-1.1916666666666673</v>
      </c>
      <c r="BN46" s="15" t="s">
        <v>48</v>
      </c>
      <c r="BP46" s="4">
        <f>AVERAGE(BP2:BP45)</f>
        <v>0.88588235294117634</v>
      </c>
      <c r="BQ46" s="4">
        <f>AVERAGE(BQ2:BQ45)</f>
        <v>38.211764705882345</v>
      </c>
      <c r="BR46" s="4">
        <f>AVERAGE(BR2:BR45)</f>
        <v>-1.233529411764706</v>
      </c>
      <c r="BS46" s="15" t="s">
        <v>48</v>
      </c>
      <c r="BU46" s="4">
        <f>AVERAGE(BU2:BU45)</f>
        <v>0.8806250000000001</v>
      </c>
      <c r="BV46" s="4">
        <f>AVERAGE(BV2:BV45)</f>
        <v>39.099999999999994</v>
      </c>
      <c r="BW46" s="4">
        <f>AVERAGE(BW2:BW45)</f>
        <v>-1.1890625000000001</v>
      </c>
      <c r="BX46" s="15" t="s">
        <v>48</v>
      </c>
      <c r="BZ46" s="4">
        <f>AVERAGE(BZ2:BZ45)</f>
        <v>0.91551724137931034</v>
      </c>
      <c r="CA46" s="4">
        <f>AVERAGE(CA2:CA45)</f>
        <v>38.755172413793098</v>
      </c>
      <c r="CB46" s="4">
        <f>AVERAGE(CB2:CB45)</f>
        <v>-1.1720689655172414</v>
      </c>
      <c r="DB46" s="81" t="s">
        <v>48</v>
      </c>
      <c r="DC46" s="155">
        <f t="shared" si="4"/>
        <v>0.87495894534787655</v>
      </c>
      <c r="DD46" s="156">
        <f t="shared" si="5"/>
        <v>39.583072229262903</v>
      </c>
      <c r="DE46" s="158">
        <f t="shared" si="6"/>
        <v>-1.232182487712812</v>
      </c>
      <c r="DF46" s="147">
        <f t="shared" si="7"/>
        <v>4.6354513256971326E-2</v>
      </c>
      <c r="DG46" s="94">
        <f t="shared" si="8"/>
        <v>-2.0915501724440618E-2</v>
      </c>
      <c r="DH46" s="95">
        <f t="shared" si="9"/>
        <v>-4.8786216972742318E-2</v>
      </c>
      <c r="DI46" s="147">
        <f t="shared" si="10"/>
        <v>3.9622133574802258E-2</v>
      </c>
      <c r="DJ46" s="94">
        <f t="shared" si="11"/>
        <v>-8.8191198518387942E-3</v>
      </c>
      <c r="DK46" s="95">
        <f t="shared" si="12"/>
        <v>-1.4291540169468596E-2</v>
      </c>
      <c r="DL46" s="147">
        <f t="shared" si="13"/>
        <v>6.3692012410439175E-2</v>
      </c>
      <c r="DM46" s="94">
        <f t="shared" si="14"/>
        <v>-7.5312166356063109E-2</v>
      </c>
      <c r="DN46" s="95">
        <f t="shared" si="15"/>
        <v>-9.8892088016424531E-2</v>
      </c>
    </row>
  </sheetData>
  <autoFilter ref="A1:CB46" xr:uid="{95BE8E96-3062-E445-B64D-7D9F0059CEAD}"/>
  <sortState xmlns:xlrd2="http://schemas.microsoft.com/office/spreadsheetml/2017/richdata2" ref="BX2:CB30">
    <sortCondition ref="BX2:BX30"/>
  </sortState>
  <conditionalFormatting sqref="DF2:DN46">
    <cfRule type="colorScale" priority="9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5127-12E8-064F-8C20-E11DC00D6D34}">
  <dimension ref="A1:DJ38"/>
  <sheetViews>
    <sheetView topLeftCell="AM1" zoomScale="90" zoomScaleNormal="90" workbookViewId="0">
      <selection activeCell="BD23" sqref="BD23"/>
    </sheetView>
  </sheetViews>
  <sheetFormatPr baseColWidth="10" defaultRowHeight="16" x14ac:dyDescent="0.2"/>
  <cols>
    <col min="1" max="1" width="15.1640625" bestFit="1" customWidth="1"/>
    <col min="3" max="3" width="13.6640625" bestFit="1" customWidth="1"/>
    <col min="5" max="5" width="16.6640625" bestFit="1" customWidth="1"/>
    <col min="6" max="6" width="15.1640625" bestFit="1" customWidth="1"/>
    <col min="7" max="7" width="8.83203125" bestFit="1" customWidth="1"/>
    <col min="8" max="8" width="13.6640625" bestFit="1" customWidth="1"/>
    <col min="9" max="9" width="14" bestFit="1" customWidth="1"/>
    <col min="10" max="10" width="16.6640625" bestFit="1" customWidth="1"/>
    <col min="11" max="11" width="16" style="12" bestFit="1" customWidth="1"/>
    <col min="12" max="12" width="10.83203125" style="12"/>
    <col min="13" max="13" width="13.83203125" style="12" bestFit="1" customWidth="1"/>
    <col min="14" max="14" width="14" style="12" bestFit="1" customWidth="1"/>
    <col min="15" max="15" width="16.6640625" style="12" bestFit="1" customWidth="1"/>
    <col min="16" max="16" width="17.1640625" style="12" bestFit="1" customWidth="1"/>
    <col min="17" max="17" width="8.83203125" style="12" bestFit="1" customWidth="1"/>
    <col min="18" max="18" width="13.6640625" style="12" bestFit="1" customWidth="1"/>
    <col min="19" max="19" width="14" style="12" bestFit="1" customWidth="1"/>
    <col min="20" max="20" width="22" style="12" customWidth="1"/>
    <col min="21" max="21" width="17.1640625" bestFit="1" customWidth="1"/>
    <col min="23" max="23" width="13.6640625" bestFit="1" customWidth="1"/>
    <col min="24" max="24" width="14" bestFit="1" customWidth="1"/>
    <col min="25" max="25" width="19.6640625" customWidth="1"/>
    <col min="26" max="26" width="17.6640625" customWidth="1"/>
    <col min="28" max="28" width="13.6640625" bestFit="1" customWidth="1"/>
    <col min="29" max="29" width="14" bestFit="1" customWidth="1"/>
    <col min="30" max="30" width="16.6640625" bestFit="1" customWidth="1"/>
    <col min="31" max="31" width="17.1640625" bestFit="1" customWidth="1"/>
    <col min="33" max="33" width="13.83203125" bestFit="1" customWidth="1"/>
    <col min="34" max="34" width="14" bestFit="1" customWidth="1"/>
    <col min="35" max="35" width="16.83203125" bestFit="1" customWidth="1"/>
    <col min="36" max="36" width="17" customWidth="1"/>
    <col min="40" max="40" width="16.83203125" bestFit="1" customWidth="1"/>
    <col min="41" max="41" width="17.1640625" bestFit="1" customWidth="1"/>
    <col min="42" max="42" width="9.1640625" bestFit="1" customWidth="1"/>
    <col min="43" max="43" width="13.83203125" bestFit="1" customWidth="1"/>
    <col min="44" max="44" width="14" bestFit="1" customWidth="1"/>
    <col min="45" max="45" width="16.83203125" bestFit="1" customWidth="1"/>
    <col min="46" max="46" width="17.5" style="12" bestFit="1" customWidth="1"/>
    <col min="47" max="47" width="9.1640625" style="12" bestFit="1" customWidth="1"/>
    <col min="48" max="48" width="13.83203125" style="12" bestFit="1" customWidth="1"/>
    <col min="49" max="49" width="14" style="12" bestFit="1" customWidth="1"/>
    <col min="50" max="50" width="16.83203125" bestFit="1" customWidth="1"/>
    <col min="51" max="51" width="17.5" style="12" bestFit="1" customWidth="1"/>
    <col min="52" max="53" width="14.33203125" style="12" customWidth="1"/>
    <col min="54" max="54" width="16" style="12" customWidth="1"/>
    <col min="55" max="55" width="17.6640625" customWidth="1"/>
    <col min="56" max="56" width="17.5" style="12" bestFit="1" customWidth="1"/>
    <col min="57" max="57" width="9.1640625" style="12" bestFit="1" customWidth="1"/>
    <col min="58" max="58" width="14" style="12" customWidth="1"/>
    <col min="59" max="59" width="16.83203125" style="12" customWidth="1"/>
    <col min="60" max="60" width="17.1640625" style="22" customWidth="1"/>
    <col min="61" max="61" width="16.33203125" style="12" bestFit="1" customWidth="1"/>
    <col min="62" max="62" width="14.1640625" style="12" customWidth="1"/>
    <col min="63" max="63" width="16.33203125" style="12" customWidth="1"/>
    <col min="64" max="64" width="17.33203125" style="12" customWidth="1"/>
    <col min="65" max="65" width="18" customWidth="1"/>
    <col min="66" max="66" width="17.5" bestFit="1" customWidth="1"/>
    <col min="67" max="69" width="10.83203125" customWidth="1"/>
    <col min="70" max="70" width="17.6640625" customWidth="1"/>
    <col min="71" max="71" width="17.5" style="12" bestFit="1" customWidth="1"/>
    <col min="72" max="72" width="10.83203125" style="12" customWidth="1"/>
    <col min="73" max="73" width="14" style="12" customWidth="1"/>
    <col min="74" max="74" width="13.6640625" style="12" customWidth="1"/>
    <col min="75" max="75" width="27" style="12" customWidth="1"/>
    <col min="76" max="76" width="17.5" style="12" bestFit="1" customWidth="1"/>
    <col min="77" max="77" width="10.83203125" style="12" customWidth="1"/>
    <col min="78" max="78" width="13.83203125" style="12" bestFit="1" customWidth="1"/>
    <col min="79" max="79" width="14" style="12" bestFit="1" customWidth="1"/>
    <col min="80" max="80" width="23.83203125" style="12" customWidth="1"/>
    <col min="81" max="81" width="17.5" style="12" bestFit="1" customWidth="1"/>
    <col min="82" max="82" width="13.6640625" style="12" customWidth="1"/>
    <col min="83" max="83" width="14" style="12" customWidth="1"/>
    <col min="84" max="84" width="16.6640625" style="12" customWidth="1"/>
    <col min="85" max="85" width="17.6640625" style="12" customWidth="1"/>
    <col min="86" max="86" width="17.5" bestFit="1" customWidth="1"/>
    <col min="87" max="87" width="10.83203125" customWidth="1"/>
    <col min="88" max="88" width="13.83203125" bestFit="1" customWidth="1"/>
    <col min="89" max="89" width="16.83203125" customWidth="1"/>
    <col min="90" max="90" width="17.6640625" customWidth="1"/>
    <col min="91" max="91" width="10.83203125" hidden="1" customWidth="1"/>
    <col min="92" max="92" width="13.6640625" hidden="1" customWidth="1"/>
    <col min="93" max="93" width="14" hidden="1" customWidth="1"/>
    <col min="94" max="94" width="16.6640625" hidden="1" customWidth="1"/>
    <col min="95" max="95" width="19" hidden="1" customWidth="1"/>
    <col min="96" max="99" width="10.83203125" hidden="1" customWidth="1"/>
    <col min="100" max="100" width="17.6640625" hidden="1" customWidth="1"/>
    <col min="101" max="101" width="8.83203125" hidden="1" customWidth="1"/>
    <col min="102" max="102" width="13.83203125" hidden="1" customWidth="1"/>
    <col min="103" max="103" width="14" hidden="1" customWidth="1"/>
    <col min="104" max="104" width="16.83203125" hidden="1" customWidth="1"/>
    <col min="105" max="105" width="18.5" customWidth="1"/>
    <col min="108" max="108" width="17.1640625" bestFit="1" customWidth="1"/>
    <col min="109" max="109" width="15.5" bestFit="1" customWidth="1"/>
    <col min="110" max="110" width="18.5" bestFit="1" customWidth="1"/>
    <col min="111" max="111" width="18.6640625" bestFit="1" customWidth="1"/>
    <col min="112" max="113" width="19.33203125" customWidth="1"/>
  </cols>
  <sheetData>
    <row r="1" spans="1:114" ht="17" thickBot="1" x14ac:dyDescent="0.25">
      <c r="A1" s="33" t="s">
        <v>8</v>
      </c>
      <c r="B1" s="34" t="s">
        <v>50</v>
      </c>
      <c r="C1" s="34" t="s">
        <v>51</v>
      </c>
      <c r="D1" s="34" t="s">
        <v>52</v>
      </c>
      <c r="E1" s="39" t="s">
        <v>53</v>
      </c>
      <c r="F1" s="46" t="s">
        <v>8</v>
      </c>
      <c r="G1" s="47" t="s">
        <v>50</v>
      </c>
      <c r="H1" s="47" t="s">
        <v>51</v>
      </c>
      <c r="I1" s="47" t="s">
        <v>52</v>
      </c>
      <c r="J1" s="66" t="s">
        <v>53</v>
      </c>
      <c r="K1" s="46" t="s">
        <v>8</v>
      </c>
      <c r="L1" s="47" t="s">
        <v>50</v>
      </c>
      <c r="M1" s="47" t="s">
        <v>51</v>
      </c>
      <c r="N1" s="47" t="s">
        <v>52</v>
      </c>
      <c r="O1" s="48" t="s">
        <v>53</v>
      </c>
      <c r="P1" s="15" t="s">
        <v>8</v>
      </c>
      <c r="Q1" s="15" t="s">
        <v>50</v>
      </c>
      <c r="R1" s="15" t="s">
        <v>51</v>
      </c>
      <c r="S1" s="15" t="s">
        <v>52</v>
      </c>
      <c r="T1" s="15" t="s">
        <v>53</v>
      </c>
      <c r="U1" s="1" t="s">
        <v>8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8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8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8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8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8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8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8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8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8</v>
      </c>
      <c r="BO1" s="1" t="s">
        <v>50</v>
      </c>
      <c r="BP1" s="1" t="s">
        <v>51</v>
      </c>
      <c r="BQ1" s="1" t="s">
        <v>52</v>
      </c>
      <c r="BR1" s="1" t="s">
        <v>53</v>
      </c>
      <c r="BS1" s="15" t="s">
        <v>8</v>
      </c>
      <c r="BT1" s="15" t="s">
        <v>50</v>
      </c>
      <c r="BU1" s="15" t="s">
        <v>51</v>
      </c>
      <c r="BV1" s="15" t="s">
        <v>52</v>
      </c>
      <c r="BW1" s="15" t="s">
        <v>53</v>
      </c>
      <c r="BX1" s="15" t="s">
        <v>8</v>
      </c>
      <c r="BY1" s="15" t="s">
        <v>50</v>
      </c>
      <c r="BZ1" s="15" t="s">
        <v>51</v>
      </c>
      <c r="CA1" s="15" t="s">
        <v>52</v>
      </c>
      <c r="CB1" s="15" t="s">
        <v>53</v>
      </c>
      <c r="CC1" s="15" t="s">
        <v>8</v>
      </c>
      <c r="CD1" s="15" t="s">
        <v>50</v>
      </c>
      <c r="CE1" s="15" t="s">
        <v>51</v>
      </c>
      <c r="CF1" s="15" t="s">
        <v>52</v>
      </c>
      <c r="CG1" s="15" t="s">
        <v>53</v>
      </c>
      <c r="CH1" s="15" t="s">
        <v>8</v>
      </c>
      <c r="CI1" s="15" t="s">
        <v>50</v>
      </c>
      <c r="CJ1" s="15" t="s">
        <v>51</v>
      </c>
      <c r="CK1" s="15" t="s">
        <v>52</v>
      </c>
      <c r="CL1" s="15" t="s">
        <v>53</v>
      </c>
      <c r="CM1" s="14"/>
      <c r="CN1" s="14"/>
      <c r="CO1" s="14"/>
      <c r="CP1" s="16"/>
      <c r="CQ1" s="13"/>
      <c r="CR1" s="14"/>
      <c r="CS1" s="14"/>
      <c r="CT1" s="14"/>
      <c r="CU1" s="16"/>
      <c r="CV1" s="13"/>
      <c r="CW1" s="14"/>
      <c r="CX1" s="14"/>
      <c r="CY1" s="14"/>
      <c r="CZ1" s="14"/>
      <c r="DA1" s="65" t="s">
        <v>8</v>
      </c>
      <c r="DB1" s="5" t="s">
        <v>0</v>
      </c>
      <c r="DC1" s="7" t="s">
        <v>1</v>
      </c>
      <c r="DD1" s="6" t="s">
        <v>2</v>
      </c>
      <c r="DE1" s="6" t="s">
        <v>3</v>
      </c>
      <c r="DF1" s="5" t="s">
        <v>4</v>
      </c>
      <c r="DG1" s="7" t="s">
        <v>5</v>
      </c>
      <c r="DH1" s="6" t="s">
        <v>6</v>
      </c>
      <c r="DI1" s="7" t="s">
        <v>7</v>
      </c>
    </row>
    <row r="2" spans="1:114" x14ac:dyDescent="0.2">
      <c r="A2" s="35" t="s">
        <v>13</v>
      </c>
      <c r="B2" s="32">
        <v>45862</v>
      </c>
      <c r="C2" s="26">
        <v>331.5</v>
      </c>
      <c r="D2" s="26">
        <v>328.5</v>
      </c>
      <c r="E2" s="40">
        <v>-0.90497737556560698</v>
      </c>
      <c r="F2" s="30" t="s">
        <v>13</v>
      </c>
      <c r="G2" s="28">
        <v>45869</v>
      </c>
      <c r="H2" s="27">
        <v>374.75</v>
      </c>
      <c r="I2" s="27">
        <v>335.5</v>
      </c>
      <c r="J2" s="49">
        <v>-10.4736490993995</v>
      </c>
      <c r="K2" s="30" t="s">
        <v>13</v>
      </c>
      <c r="L2" s="28">
        <v>45874</v>
      </c>
      <c r="M2" s="27">
        <v>377.25</v>
      </c>
      <c r="N2" s="27">
        <v>382.25</v>
      </c>
      <c r="O2" s="49">
        <v>1.3080444735121</v>
      </c>
      <c r="P2" s="74" t="s">
        <v>13</v>
      </c>
      <c r="Q2" s="54">
        <v>45880</v>
      </c>
      <c r="R2" s="29">
        <v>400.25</v>
      </c>
      <c r="S2" s="29">
        <v>360.75</v>
      </c>
      <c r="T2" s="75">
        <v>-9.8688319800124908</v>
      </c>
      <c r="U2" s="53" t="s">
        <v>13</v>
      </c>
      <c r="V2" s="84">
        <v>45886</v>
      </c>
      <c r="W2" s="85">
        <v>372.75</v>
      </c>
      <c r="X2" s="85">
        <v>411.25</v>
      </c>
      <c r="Y2" s="90" t="s">
        <v>73</v>
      </c>
      <c r="Z2" s="53" t="s">
        <v>13</v>
      </c>
      <c r="AA2" s="84">
        <v>45894</v>
      </c>
      <c r="AB2" s="85">
        <v>385.5</v>
      </c>
      <c r="AC2" s="85">
        <v>404.25</v>
      </c>
      <c r="AD2" s="92">
        <v>4.6382189239332101</v>
      </c>
      <c r="AE2" s="53" t="s">
        <v>13</v>
      </c>
      <c r="AF2" s="84">
        <v>45901</v>
      </c>
      <c r="AG2" s="85">
        <v>397</v>
      </c>
      <c r="AH2" s="85">
        <v>370.25</v>
      </c>
      <c r="AI2" s="92">
        <v>-6.7380352644836199</v>
      </c>
      <c r="AJ2" s="53" t="s">
        <v>13</v>
      </c>
      <c r="AK2" s="84">
        <v>45908</v>
      </c>
      <c r="AL2" s="85">
        <v>382.25</v>
      </c>
      <c r="AM2" s="85">
        <v>362.75</v>
      </c>
      <c r="AN2" s="92">
        <v>-5.1013734466971803</v>
      </c>
      <c r="AO2" s="53" t="s">
        <v>13</v>
      </c>
      <c r="AP2" s="84">
        <v>45915</v>
      </c>
      <c r="AQ2" s="85">
        <v>385.25</v>
      </c>
      <c r="AR2" s="85">
        <v>371</v>
      </c>
      <c r="AS2" s="92">
        <v>-3.69889682024658</v>
      </c>
      <c r="AT2" s="53" t="s">
        <v>13</v>
      </c>
      <c r="AU2" s="84">
        <v>45922</v>
      </c>
      <c r="AV2" s="85">
        <v>381.25</v>
      </c>
      <c r="AW2" s="85">
        <v>387.25</v>
      </c>
      <c r="AX2" s="92">
        <v>1.54938670109747</v>
      </c>
      <c r="AY2" s="53" t="s">
        <v>13</v>
      </c>
      <c r="AZ2" s="84">
        <v>45929</v>
      </c>
      <c r="BA2" s="85">
        <v>389.25</v>
      </c>
      <c r="BB2" s="85">
        <v>394.75</v>
      </c>
      <c r="BC2" s="92">
        <v>1.39328689043698</v>
      </c>
      <c r="BD2" s="53" t="s">
        <v>13</v>
      </c>
      <c r="BE2" s="84">
        <v>45936</v>
      </c>
      <c r="BF2" s="85">
        <v>400</v>
      </c>
      <c r="BG2" s="85">
        <v>383.25</v>
      </c>
      <c r="BH2" s="92">
        <v>-4.1875</v>
      </c>
      <c r="BI2" s="53" t="s">
        <v>13</v>
      </c>
      <c r="BJ2" s="84">
        <v>45943</v>
      </c>
      <c r="BK2" s="85">
        <v>397.75</v>
      </c>
      <c r="BL2" s="85">
        <v>410.25</v>
      </c>
      <c r="BM2" s="92">
        <v>3.0469226081657399</v>
      </c>
      <c r="BN2" s="53" t="s">
        <v>13</v>
      </c>
      <c r="BO2" s="84">
        <v>45950</v>
      </c>
      <c r="BP2" s="85">
        <v>408.25</v>
      </c>
      <c r="BQ2" s="85">
        <v>400.5</v>
      </c>
      <c r="BR2" s="92">
        <v>-1.8983466013472099</v>
      </c>
      <c r="BS2" s="74" t="s">
        <v>13</v>
      </c>
      <c r="BT2" s="54">
        <v>45957</v>
      </c>
      <c r="BU2" s="29">
        <v>384.75</v>
      </c>
      <c r="BV2" s="29">
        <v>392.75</v>
      </c>
      <c r="BW2" s="75">
        <v>2.0369191597708398</v>
      </c>
      <c r="BX2" s="74"/>
      <c r="BY2" s="29"/>
      <c r="BZ2" s="29"/>
      <c r="CA2" s="29"/>
      <c r="CB2" s="75"/>
      <c r="CC2" s="137" t="s">
        <v>13</v>
      </c>
      <c r="CD2" s="138">
        <v>45971</v>
      </c>
      <c r="CE2" s="139">
        <v>415</v>
      </c>
      <c r="CF2" s="139">
        <v>403.5</v>
      </c>
      <c r="CG2" s="150">
        <v>-2.7710843373493899</v>
      </c>
      <c r="CH2" s="137" t="s">
        <v>13</v>
      </c>
      <c r="CI2" s="138">
        <v>45978</v>
      </c>
      <c r="CJ2" s="139">
        <v>432.5</v>
      </c>
      <c r="CK2" s="139">
        <v>407.75</v>
      </c>
      <c r="CL2" s="140">
        <v>-5.7225433526011598</v>
      </c>
      <c r="CM2" s="17"/>
      <c r="CP2" s="19"/>
      <c r="CQ2" s="18"/>
      <c r="CR2" s="17"/>
      <c r="CU2" s="19"/>
      <c r="CV2" s="18"/>
      <c r="CW2" s="17"/>
      <c r="DA2" s="68" t="s">
        <v>13</v>
      </c>
      <c r="DB2" s="9">
        <f>AVERAGE(C2,H2,M2,R2,W2,AB2,AG2,AL2,AQ2,AV2,BA2,BF2,BK2,BP2,BU2,BZ2,CE2,CJ2)</f>
        <v>389.13235294117646</v>
      </c>
      <c r="DC2" s="111">
        <f>AVERAGE(D2,I2,N2,S2,X2,AC2,AH2,AM2,AR2,AW2,BB2,BG2,BL2,BQ2,BV2,CA2,CF2,CK2)</f>
        <v>382.73529411764707</v>
      </c>
      <c r="DD2" s="108">
        <f>(CJ2-DB2)/DB2</f>
        <v>0.11144703525943844</v>
      </c>
      <c r="DE2" s="126">
        <f>(CK2-DC2)/DC2</f>
        <v>6.535771920387301E-2</v>
      </c>
      <c r="DF2" s="10">
        <f>(CJ2-CE2)/CE2</f>
        <v>4.2168674698795178E-2</v>
      </c>
      <c r="DG2" s="62">
        <f>(CK2-CF2)/CF2</f>
        <v>1.0532837670384139E-2</v>
      </c>
      <c r="DH2" s="108">
        <f>(CJ2-C2)/C2</f>
        <v>0.3046757164404223</v>
      </c>
      <c r="DI2" s="62">
        <f>(CK2-D2)/D2</f>
        <v>0.24124809741248096</v>
      </c>
    </row>
    <row r="3" spans="1:114" x14ac:dyDescent="0.2">
      <c r="A3" s="35" t="s">
        <v>14</v>
      </c>
      <c r="B3" s="32">
        <v>45862</v>
      </c>
      <c r="C3" s="26">
        <v>456.25</v>
      </c>
      <c r="D3" s="26">
        <v>398.75</v>
      </c>
      <c r="E3" s="40">
        <v>-12.6027397260274</v>
      </c>
      <c r="F3" s="30" t="s">
        <v>14</v>
      </c>
      <c r="G3" s="28">
        <v>45869</v>
      </c>
      <c r="H3" s="27">
        <v>409.5</v>
      </c>
      <c r="I3" s="27">
        <v>362.5</v>
      </c>
      <c r="J3" s="49">
        <v>-11.477411477411399</v>
      </c>
      <c r="K3" s="30" t="s">
        <v>14</v>
      </c>
      <c r="L3" s="28">
        <v>45874</v>
      </c>
      <c r="M3" s="27">
        <v>482.75</v>
      </c>
      <c r="N3" s="27">
        <v>422</v>
      </c>
      <c r="O3" s="49">
        <v>-12.5841532884515</v>
      </c>
      <c r="P3" s="30" t="s">
        <v>14</v>
      </c>
      <c r="Q3" s="28">
        <v>45880</v>
      </c>
      <c r="R3" s="27">
        <v>455</v>
      </c>
      <c r="S3" s="27">
        <v>415.5</v>
      </c>
      <c r="T3" s="49">
        <v>-8.6813186813186807</v>
      </c>
      <c r="U3" s="35" t="s">
        <v>14</v>
      </c>
      <c r="V3" s="32">
        <v>45886</v>
      </c>
      <c r="W3" s="26">
        <v>471.5</v>
      </c>
      <c r="X3" s="26">
        <v>444.25</v>
      </c>
      <c r="Y3" s="40">
        <v>-5.7794273594909802</v>
      </c>
      <c r="Z3" s="35" t="s">
        <v>14</v>
      </c>
      <c r="AA3" s="32">
        <v>45894</v>
      </c>
      <c r="AB3" s="26">
        <v>401.5</v>
      </c>
      <c r="AC3" s="26">
        <v>404</v>
      </c>
      <c r="AD3" s="40">
        <v>0.61881188118811903</v>
      </c>
      <c r="AE3" s="35" t="s">
        <v>14</v>
      </c>
      <c r="AF3" s="32">
        <v>45901</v>
      </c>
      <c r="AG3" s="26">
        <v>430.75</v>
      </c>
      <c r="AH3" s="26">
        <v>368.25</v>
      </c>
      <c r="AI3" s="41">
        <v>-14.5095763203714</v>
      </c>
      <c r="AJ3" s="35" t="s">
        <v>14</v>
      </c>
      <c r="AK3" s="32">
        <v>45908</v>
      </c>
      <c r="AL3" s="26">
        <v>486</v>
      </c>
      <c r="AM3" s="26">
        <v>435.25</v>
      </c>
      <c r="AN3" s="40">
        <v>-10.4423868312757</v>
      </c>
      <c r="AO3" s="35" t="s">
        <v>14</v>
      </c>
      <c r="AP3" s="32">
        <v>45915</v>
      </c>
      <c r="AQ3" s="26">
        <v>446</v>
      </c>
      <c r="AR3" s="26">
        <v>426</v>
      </c>
      <c r="AS3" s="40">
        <v>-4.4843049327354203</v>
      </c>
      <c r="AT3" s="35" t="s">
        <v>14</v>
      </c>
      <c r="AU3" s="32">
        <v>45922</v>
      </c>
      <c r="AV3" s="26">
        <v>438</v>
      </c>
      <c r="AW3" s="26">
        <v>366.5</v>
      </c>
      <c r="AX3" s="41">
        <v>-16.324200913241999</v>
      </c>
      <c r="AY3" s="35" t="s">
        <v>14</v>
      </c>
      <c r="AZ3" s="32">
        <v>45929</v>
      </c>
      <c r="BA3" s="26">
        <v>454</v>
      </c>
      <c r="BB3" s="26">
        <v>369.75</v>
      </c>
      <c r="BC3" s="41">
        <v>-18.557268722466901</v>
      </c>
      <c r="BD3" s="35" t="s">
        <v>14</v>
      </c>
      <c r="BE3" s="32">
        <v>45936</v>
      </c>
      <c r="BF3" s="26">
        <v>477</v>
      </c>
      <c r="BG3" s="26">
        <v>412.25</v>
      </c>
      <c r="BH3" s="40">
        <v>-13.5744234800838</v>
      </c>
      <c r="BI3" s="35" t="s">
        <v>14</v>
      </c>
      <c r="BJ3" s="32">
        <v>45943</v>
      </c>
      <c r="BK3" s="26">
        <v>485.75</v>
      </c>
      <c r="BL3" s="26">
        <v>412.5</v>
      </c>
      <c r="BM3" s="41">
        <v>-15.0797735460627</v>
      </c>
      <c r="BN3" s="35" t="s">
        <v>14</v>
      </c>
      <c r="BO3" s="32">
        <v>45950</v>
      </c>
      <c r="BP3" s="26">
        <v>479.25</v>
      </c>
      <c r="BQ3" s="26">
        <v>423.75</v>
      </c>
      <c r="BR3" s="40">
        <v>-11.5805946791862</v>
      </c>
      <c r="BS3" s="30"/>
      <c r="BT3" s="27"/>
      <c r="BU3" s="27"/>
      <c r="BV3" s="27"/>
      <c r="BW3" s="49"/>
      <c r="BX3" s="129" t="s">
        <v>14</v>
      </c>
      <c r="BY3" s="117">
        <v>45964</v>
      </c>
      <c r="BZ3" s="116">
        <v>434.5</v>
      </c>
      <c r="CA3" s="116">
        <v>389.75</v>
      </c>
      <c r="CB3" s="133">
        <v>-10.299194476409699</v>
      </c>
      <c r="CC3" s="141" t="s">
        <v>14</v>
      </c>
      <c r="CD3" s="135">
        <v>45971</v>
      </c>
      <c r="CE3" s="136">
        <v>479.75</v>
      </c>
      <c r="CF3" s="136">
        <v>406.75</v>
      </c>
      <c r="CG3" s="154">
        <v>-15.2162584679521</v>
      </c>
      <c r="CH3" s="141" t="s">
        <v>14</v>
      </c>
      <c r="CI3" s="135">
        <v>45978</v>
      </c>
      <c r="CJ3" s="136">
        <v>454.75</v>
      </c>
      <c r="CK3" s="136">
        <v>380.5</v>
      </c>
      <c r="CL3" s="149">
        <v>-16.327652556349602</v>
      </c>
      <c r="CP3" s="19"/>
      <c r="CQ3" s="18"/>
      <c r="CR3" s="17"/>
      <c r="CU3" s="19"/>
      <c r="CV3" s="18"/>
      <c r="CW3" s="17"/>
      <c r="DA3" s="69" t="s">
        <v>14</v>
      </c>
      <c r="DB3" s="71">
        <f t="shared" ref="DB3:DB33" si="0">AVERAGE(C3,H3,M3,R3,W3,AB3,AG3,AL3,AQ3,AV3,BA3,BF3,BK3,BP3,BU3,BZ3,CE3,CJ3)</f>
        <v>455.4264705882353</v>
      </c>
      <c r="DC3" s="112">
        <f t="shared" ref="DC3:DC33" si="1">AVERAGE(D3,I3,N3,S3,X3,AC3,AH3,AM3,AR3,AW3,BB3,BG3,BL3,BQ3,BV3,CA3,CF3,CK3)</f>
        <v>402.25</v>
      </c>
      <c r="DD3" s="109">
        <f t="shared" ref="DD3:DD33" si="2">(CJ3-DB3)/DB3</f>
        <v>-1.4853563240660235E-3</v>
      </c>
      <c r="DE3" s="127">
        <f t="shared" ref="DE3:DE33" si="3">(CK3-DC3)/DC3</f>
        <v>-5.4070851460534496E-2</v>
      </c>
      <c r="DF3" s="64">
        <f t="shared" ref="DF3:DF33" si="4">(CJ3-CE3)/CE3</f>
        <v>-5.2110474205315269E-2</v>
      </c>
      <c r="DG3" s="63">
        <f t="shared" ref="DG3:DG33" si="5">(CK3-CF3)/CF3</f>
        <v>-6.4535955746773205E-2</v>
      </c>
      <c r="DH3" s="109">
        <f t="shared" ref="DH3:DH33" si="6">(CJ3-C3)/C3</f>
        <v>-3.2876712328767125E-3</v>
      </c>
      <c r="DI3" s="63">
        <f t="shared" ref="DI3:DI33" si="7">(CK3-D3)/D3</f>
        <v>-4.5768025078369905E-2</v>
      </c>
    </row>
    <row r="4" spans="1:114" x14ac:dyDescent="0.2">
      <c r="A4" s="35" t="s">
        <v>15</v>
      </c>
      <c r="B4" s="32">
        <v>45862</v>
      </c>
      <c r="C4" s="26">
        <v>393.5</v>
      </c>
      <c r="D4" s="26">
        <v>358.5</v>
      </c>
      <c r="E4" s="40">
        <v>-8.8945362134688697</v>
      </c>
      <c r="F4" s="30" t="s">
        <v>15</v>
      </c>
      <c r="G4" s="28">
        <v>45869</v>
      </c>
      <c r="H4" s="27">
        <v>433.75</v>
      </c>
      <c r="I4" s="27">
        <v>387.75</v>
      </c>
      <c r="J4" s="49">
        <v>-10.605187319884701</v>
      </c>
      <c r="K4" s="30" t="s">
        <v>15</v>
      </c>
      <c r="L4" s="28">
        <v>45874</v>
      </c>
      <c r="M4" s="27">
        <v>449.25</v>
      </c>
      <c r="N4" s="27">
        <v>386.75</v>
      </c>
      <c r="O4" s="49">
        <v>-13.9120756816917</v>
      </c>
      <c r="P4" s="30" t="s">
        <v>15</v>
      </c>
      <c r="Q4" s="28">
        <v>45880</v>
      </c>
      <c r="R4" s="27">
        <v>313.5</v>
      </c>
      <c r="S4" s="27">
        <v>293.25</v>
      </c>
      <c r="T4" s="49">
        <v>-6.4593301435406598</v>
      </c>
      <c r="U4" s="35" t="s">
        <v>15</v>
      </c>
      <c r="V4" s="32">
        <v>45886</v>
      </c>
      <c r="W4" s="26">
        <v>503</v>
      </c>
      <c r="X4" s="26">
        <v>439</v>
      </c>
      <c r="Y4" s="40">
        <v>-12.723658051689799</v>
      </c>
      <c r="Z4" s="35" t="s">
        <v>15</v>
      </c>
      <c r="AA4" s="32">
        <v>45894</v>
      </c>
      <c r="AB4" s="26">
        <v>438.75</v>
      </c>
      <c r="AC4" s="26">
        <v>438.5</v>
      </c>
      <c r="AD4" s="40">
        <v>-5.6980056980060402E-2</v>
      </c>
      <c r="AE4" s="35" t="s">
        <v>15</v>
      </c>
      <c r="AF4" s="32">
        <v>45901</v>
      </c>
      <c r="AG4" s="26">
        <v>438.75</v>
      </c>
      <c r="AH4" s="26">
        <v>421.5</v>
      </c>
      <c r="AI4" s="40">
        <v>-3.9316239316239199</v>
      </c>
      <c r="AJ4" s="35" t="s">
        <v>15</v>
      </c>
      <c r="AK4" s="32">
        <v>45908</v>
      </c>
      <c r="AL4" s="26">
        <v>434</v>
      </c>
      <c r="AM4" s="26">
        <v>427</v>
      </c>
      <c r="AN4" s="40">
        <v>-1.61290322580645</v>
      </c>
      <c r="AO4" s="35" t="s">
        <v>15</v>
      </c>
      <c r="AP4" s="32">
        <v>45915</v>
      </c>
      <c r="AQ4" s="26">
        <v>369.75</v>
      </c>
      <c r="AR4" s="26">
        <v>337.25</v>
      </c>
      <c r="AS4" s="40">
        <v>-8.7897227856659796</v>
      </c>
      <c r="AT4" s="35" t="s">
        <v>15</v>
      </c>
      <c r="AU4" s="32">
        <v>45922</v>
      </c>
      <c r="AV4" s="26">
        <v>398</v>
      </c>
      <c r="AW4" s="26">
        <v>380.75</v>
      </c>
      <c r="AX4" s="40">
        <v>-4.33417085427135</v>
      </c>
      <c r="AY4" s="35" t="s">
        <v>15</v>
      </c>
      <c r="AZ4" s="32">
        <v>45929</v>
      </c>
      <c r="BA4" s="26">
        <v>427.5</v>
      </c>
      <c r="BB4" s="26">
        <v>388.75</v>
      </c>
      <c r="BC4" s="40">
        <v>-9.0643274853801099</v>
      </c>
      <c r="BD4" s="35" t="s">
        <v>15</v>
      </c>
      <c r="BE4" s="32">
        <v>45936</v>
      </c>
      <c r="BF4" s="26">
        <v>320.25</v>
      </c>
      <c r="BG4" s="26">
        <v>315</v>
      </c>
      <c r="BH4" s="40">
        <v>-1.63934426229508</v>
      </c>
      <c r="BI4" s="35" t="s">
        <v>15</v>
      </c>
      <c r="BJ4" s="32">
        <v>45943</v>
      </c>
      <c r="BK4" s="26">
        <v>373.75</v>
      </c>
      <c r="BL4" s="26">
        <v>355.75</v>
      </c>
      <c r="BM4" s="40">
        <v>-4.8160535117056797</v>
      </c>
      <c r="BN4" s="35" t="s">
        <v>15</v>
      </c>
      <c r="BO4" s="32">
        <v>45950</v>
      </c>
      <c r="BP4" s="26">
        <v>424.75</v>
      </c>
      <c r="BQ4" s="26">
        <v>385.25</v>
      </c>
      <c r="BR4" s="40">
        <v>-9.2995879929370204</v>
      </c>
      <c r="BS4" s="30" t="s">
        <v>15</v>
      </c>
      <c r="BT4" s="28">
        <v>45957</v>
      </c>
      <c r="BU4" s="27">
        <v>434.75</v>
      </c>
      <c r="BV4" s="27">
        <v>376.5</v>
      </c>
      <c r="BW4" s="49">
        <v>-13.398504887866499</v>
      </c>
      <c r="BX4" s="30"/>
      <c r="BY4" s="27"/>
      <c r="BZ4" s="27"/>
      <c r="CA4" s="27"/>
      <c r="CB4" s="49"/>
      <c r="CC4" s="30"/>
      <c r="CD4" s="27"/>
      <c r="CE4" s="27"/>
      <c r="CF4" s="27"/>
      <c r="CG4" s="49"/>
      <c r="CH4" s="30"/>
      <c r="CI4" s="27"/>
      <c r="CJ4" s="27"/>
      <c r="CK4" s="27"/>
      <c r="CL4" s="31"/>
      <c r="CM4" s="17"/>
      <c r="CP4" s="19"/>
      <c r="CQ4" s="18"/>
      <c r="CR4" s="17"/>
      <c r="CU4" s="19"/>
      <c r="CV4" s="18"/>
      <c r="DA4" s="69" t="s">
        <v>15</v>
      </c>
      <c r="DB4" s="71">
        <f t="shared" si="0"/>
        <v>410.21666666666664</v>
      </c>
      <c r="DC4" s="112">
        <f t="shared" si="1"/>
        <v>379.43333333333334</v>
      </c>
      <c r="DD4" s="109"/>
      <c r="DE4" s="127"/>
      <c r="DF4" s="64"/>
      <c r="DG4" s="63"/>
      <c r="DH4" s="109"/>
      <c r="DI4" s="63"/>
    </row>
    <row r="5" spans="1:114" x14ac:dyDescent="0.2">
      <c r="A5" s="35" t="s">
        <v>16</v>
      </c>
      <c r="B5" s="32">
        <v>45862</v>
      </c>
      <c r="C5" s="26">
        <v>435</v>
      </c>
      <c r="D5" s="26">
        <v>427.5</v>
      </c>
      <c r="E5" s="40">
        <v>-1.72413793103448</v>
      </c>
      <c r="F5" s="30" t="s">
        <v>16</v>
      </c>
      <c r="G5" s="28">
        <v>45869</v>
      </c>
      <c r="H5" s="27">
        <v>416</v>
      </c>
      <c r="I5" s="27">
        <v>431.75</v>
      </c>
      <c r="J5" s="49">
        <v>3.6479444122756202</v>
      </c>
      <c r="K5" s="30" t="s">
        <v>16</v>
      </c>
      <c r="L5" s="28">
        <v>45874</v>
      </c>
      <c r="M5" s="27">
        <v>415.5</v>
      </c>
      <c r="N5" s="27">
        <v>433.25</v>
      </c>
      <c r="O5" s="49">
        <v>4.0969417195614497</v>
      </c>
      <c r="P5" s="30" t="s">
        <v>16</v>
      </c>
      <c r="Q5" s="28">
        <v>45880</v>
      </c>
      <c r="R5" s="27">
        <v>396</v>
      </c>
      <c r="S5" s="27">
        <v>412.25</v>
      </c>
      <c r="T5" s="82" t="s">
        <v>66</v>
      </c>
      <c r="U5" s="35" t="s">
        <v>16</v>
      </c>
      <c r="V5" s="32">
        <v>45886</v>
      </c>
      <c r="W5" s="26">
        <v>446.75</v>
      </c>
      <c r="X5" s="26">
        <v>430.5</v>
      </c>
      <c r="Y5" s="40">
        <v>-3.6373810856183502</v>
      </c>
      <c r="Z5" s="35" t="s">
        <v>16</v>
      </c>
      <c r="AA5" s="32">
        <v>45894</v>
      </c>
      <c r="AB5" s="26">
        <v>462</v>
      </c>
      <c r="AC5" s="26">
        <v>453.25</v>
      </c>
      <c r="AD5" s="40">
        <v>-1.89393939393939</v>
      </c>
      <c r="AE5" s="35" t="s">
        <v>16</v>
      </c>
      <c r="AF5" s="32">
        <v>45901</v>
      </c>
      <c r="AG5" s="26">
        <v>418.75</v>
      </c>
      <c r="AH5" s="26">
        <v>421</v>
      </c>
      <c r="AI5" s="40">
        <v>0.53444180522564899</v>
      </c>
      <c r="AJ5" s="35" t="s">
        <v>16</v>
      </c>
      <c r="AK5" s="32">
        <v>45908</v>
      </c>
      <c r="AL5" s="26">
        <v>467.75</v>
      </c>
      <c r="AM5" s="26">
        <v>433.75</v>
      </c>
      <c r="AN5" s="40">
        <v>-7.2688401924104697</v>
      </c>
      <c r="AO5" s="35" t="s">
        <v>16</v>
      </c>
      <c r="AP5" s="32">
        <v>45915</v>
      </c>
      <c r="AQ5" s="26">
        <v>431.25</v>
      </c>
      <c r="AR5" s="26">
        <v>404.75</v>
      </c>
      <c r="AS5" s="40">
        <v>-6.1449275362318803</v>
      </c>
      <c r="AT5" s="35" t="s">
        <v>16</v>
      </c>
      <c r="AU5" s="32">
        <v>45922</v>
      </c>
      <c r="AV5" s="26">
        <v>423</v>
      </c>
      <c r="AW5" s="26">
        <v>380</v>
      </c>
      <c r="AX5" s="40">
        <v>-10.165484633569699</v>
      </c>
      <c r="AY5" s="35" t="s">
        <v>16</v>
      </c>
      <c r="AZ5" s="32">
        <v>45929</v>
      </c>
      <c r="BA5" s="26">
        <v>378.25</v>
      </c>
      <c r="BB5" s="26">
        <v>380.75</v>
      </c>
      <c r="BC5" s="40">
        <v>0.65659881812212195</v>
      </c>
      <c r="BD5" s="35" t="s">
        <v>16</v>
      </c>
      <c r="BE5" s="32">
        <v>45936</v>
      </c>
      <c r="BF5" s="26">
        <v>429.75</v>
      </c>
      <c r="BG5" s="26">
        <v>371.25</v>
      </c>
      <c r="BH5" s="40">
        <v>-13.6125654450261</v>
      </c>
      <c r="BI5" s="35" t="s">
        <v>16</v>
      </c>
      <c r="BJ5" s="32">
        <v>45943</v>
      </c>
      <c r="BK5" s="26">
        <v>428.5</v>
      </c>
      <c r="BL5" s="26">
        <v>398</v>
      </c>
      <c r="BM5" s="40">
        <v>-8.5180863477246191</v>
      </c>
      <c r="BN5" s="35" t="s">
        <v>16</v>
      </c>
      <c r="BO5" s="32">
        <v>45950</v>
      </c>
      <c r="BP5" s="26">
        <v>404.25</v>
      </c>
      <c r="BQ5" s="26">
        <v>381.25</v>
      </c>
      <c r="BR5" s="40">
        <v>-5.6895485466914</v>
      </c>
      <c r="BS5" s="30" t="s">
        <v>16</v>
      </c>
      <c r="BT5" s="28">
        <v>45957</v>
      </c>
      <c r="BU5" s="27">
        <v>385</v>
      </c>
      <c r="BV5" s="27">
        <v>416.75</v>
      </c>
      <c r="BW5" s="49">
        <v>7.6184763047390502</v>
      </c>
      <c r="BX5" s="129" t="s">
        <v>16</v>
      </c>
      <c r="BY5" s="117">
        <v>45964</v>
      </c>
      <c r="BZ5" s="116">
        <v>406.75</v>
      </c>
      <c r="CA5" s="116">
        <v>396.75</v>
      </c>
      <c r="CB5" s="133">
        <v>-2.45851259987707</v>
      </c>
      <c r="CC5" s="141" t="s">
        <v>16</v>
      </c>
      <c r="CD5" s="135">
        <v>45971</v>
      </c>
      <c r="CE5" s="136">
        <v>405</v>
      </c>
      <c r="CF5" s="136">
        <v>405</v>
      </c>
      <c r="CG5" s="151">
        <v>0</v>
      </c>
      <c r="CH5" s="141" t="s">
        <v>16</v>
      </c>
      <c r="CI5" s="135">
        <v>45978</v>
      </c>
      <c r="CJ5" s="136">
        <v>401.25</v>
      </c>
      <c r="CK5" s="136">
        <v>393.75</v>
      </c>
      <c r="CL5" s="142">
        <v>-1.86915887850467</v>
      </c>
      <c r="CM5" s="17"/>
      <c r="CP5" s="19"/>
      <c r="CQ5" s="18"/>
      <c r="CR5" s="17"/>
      <c r="CU5" s="19"/>
      <c r="CV5" s="18"/>
      <c r="CW5" s="17"/>
      <c r="DA5" s="69" t="s">
        <v>16</v>
      </c>
      <c r="DB5" s="71">
        <f t="shared" si="0"/>
        <v>419.48611111111109</v>
      </c>
      <c r="DC5" s="112">
        <f t="shared" si="1"/>
        <v>409.52777777777777</v>
      </c>
      <c r="DD5" s="109">
        <f t="shared" si="2"/>
        <v>-4.3472502731516677E-2</v>
      </c>
      <c r="DE5" s="127">
        <f t="shared" si="3"/>
        <v>-3.8526758461642802E-2</v>
      </c>
      <c r="DF5" s="64">
        <f t="shared" si="4"/>
        <v>-9.2592592592592587E-3</v>
      </c>
      <c r="DG5" s="63">
        <f t="shared" si="5"/>
        <v>-2.7777777777777776E-2</v>
      </c>
      <c r="DH5" s="109">
        <f t="shared" si="6"/>
        <v>-7.7586206896551727E-2</v>
      </c>
      <c r="DI5" s="63">
        <f t="shared" si="7"/>
        <v>-7.8947368421052627E-2</v>
      </c>
    </row>
    <row r="6" spans="1:114" x14ac:dyDescent="0.2">
      <c r="A6" s="35" t="s">
        <v>17</v>
      </c>
      <c r="B6" s="32">
        <v>45862</v>
      </c>
      <c r="C6" s="26">
        <v>403.25</v>
      </c>
      <c r="D6" s="26">
        <v>343</v>
      </c>
      <c r="E6" s="40">
        <v>-14.941103533787899</v>
      </c>
      <c r="F6" s="30" t="s">
        <v>17</v>
      </c>
      <c r="G6" s="28">
        <v>45869</v>
      </c>
      <c r="H6" s="27">
        <v>502.75</v>
      </c>
      <c r="I6" s="27">
        <v>435.5</v>
      </c>
      <c r="J6" s="49">
        <v>-13.3764296369965</v>
      </c>
      <c r="K6" s="30" t="s">
        <v>17</v>
      </c>
      <c r="L6" s="28">
        <v>45874</v>
      </c>
      <c r="M6" s="27">
        <v>487.75</v>
      </c>
      <c r="N6" s="27">
        <v>424.75</v>
      </c>
      <c r="O6" s="49">
        <v>-12.916453100973801</v>
      </c>
      <c r="P6" s="30" t="s">
        <v>17</v>
      </c>
      <c r="Q6" s="28">
        <v>45880</v>
      </c>
      <c r="R6" s="27">
        <v>494.5</v>
      </c>
      <c r="S6" s="27">
        <v>422</v>
      </c>
      <c r="T6" s="49">
        <v>-14.661274014155699</v>
      </c>
      <c r="U6" s="35" t="s">
        <v>17</v>
      </c>
      <c r="V6" s="32">
        <v>45886</v>
      </c>
      <c r="W6" s="26">
        <v>507</v>
      </c>
      <c r="X6" s="26">
        <v>429</v>
      </c>
      <c r="Y6" s="41">
        <v>-15.3846153846153</v>
      </c>
      <c r="Z6" s="35" t="s">
        <v>17</v>
      </c>
      <c r="AA6" s="32">
        <v>45894</v>
      </c>
      <c r="AB6" s="26">
        <v>482.5</v>
      </c>
      <c r="AC6" s="26">
        <v>468</v>
      </c>
      <c r="AD6" s="40">
        <v>-3.0051813471502502</v>
      </c>
      <c r="AE6" s="35" t="s">
        <v>17</v>
      </c>
      <c r="AF6" s="32">
        <v>45901</v>
      </c>
      <c r="AG6" s="26">
        <v>483</v>
      </c>
      <c r="AH6" s="26">
        <v>448.25</v>
      </c>
      <c r="AI6" s="40">
        <v>-7.1946169772256701</v>
      </c>
      <c r="AJ6" s="35" t="s">
        <v>17</v>
      </c>
      <c r="AK6" s="32">
        <v>45908</v>
      </c>
      <c r="AL6" s="26">
        <v>496.25</v>
      </c>
      <c r="AM6" s="26">
        <v>447.5</v>
      </c>
      <c r="AN6" s="40">
        <v>-9.8236775818639703</v>
      </c>
      <c r="AO6" s="35"/>
      <c r="AP6" s="26"/>
      <c r="AQ6" s="26"/>
      <c r="AR6" s="26"/>
      <c r="AS6" s="40"/>
      <c r="AT6" s="35" t="s">
        <v>17</v>
      </c>
      <c r="AU6" s="32">
        <v>45922</v>
      </c>
      <c r="AV6" s="26">
        <v>470</v>
      </c>
      <c r="AW6" s="26">
        <v>455.25</v>
      </c>
      <c r="AX6" s="40">
        <v>-3.13829787234042</v>
      </c>
      <c r="AY6" s="35" t="s">
        <v>17</v>
      </c>
      <c r="AZ6" s="32">
        <v>45929</v>
      </c>
      <c r="BA6" s="26">
        <v>488</v>
      </c>
      <c r="BB6" s="26">
        <v>449.25</v>
      </c>
      <c r="BC6" s="40">
        <v>-7.94057377049179</v>
      </c>
      <c r="BD6" s="35" t="s">
        <v>17</v>
      </c>
      <c r="BE6" s="32">
        <v>45936</v>
      </c>
      <c r="BF6" s="26">
        <v>448.5</v>
      </c>
      <c r="BG6" s="26">
        <v>421.75</v>
      </c>
      <c r="BH6" s="40">
        <v>-5.9643255295429203</v>
      </c>
      <c r="BI6" s="35" t="s">
        <v>17</v>
      </c>
      <c r="BJ6" s="32">
        <v>45943</v>
      </c>
      <c r="BK6" s="26">
        <v>445.5</v>
      </c>
      <c r="BL6" s="26">
        <v>435.75</v>
      </c>
      <c r="BM6" s="40">
        <v>-2.1885521885521801</v>
      </c>
      <c r="BN6" s="35" t="s">
        <v>17</v>
      </c>
      <c r="BO6" s="32">
        <v>45950</v>
      </c>
      <c r="BP6" s="26">
        <v>496.5</v>
      </c>
      <c r="BQ6" s="26">
        <v>475.5</v>
      </c>
      <c r="BR6" s="40">
        <v>-4.2296072507552802</v>
      </c>
      <c r="BS6" s="30" t="s">
        <v>17</v>
      </c>
      <c r="BT6" s="28">
        <v>45957</v>
      </c>
      <c r="BU6" s="27">
        <v>476.5</v>
      </c>
      <c r="BV6" s="27">
        <v>458</v>
      </c>
      <c r="BW6" s="49">
        <v>-3.88247639034627</v>
      </c>
      <c r="BX6" s="129" t="s">
        <v>17</v>
      </c>
      <c r="BY6" s="117">
        <v>45964</v>
      </c>
      <c r="BZ6" s="116">
        <v>512.25</v>
      </c>
      <c r="CA6" s="116">
        <v>497.75</v>
      </c>
      <c r="CB6" s="133">
        <v>-2.8306490971205398</v>
      </c>
      <c r="CC6" s="141" t="s">
        <v>17</v>
      </c>
      <c r="CD6" s="135">
        <v>45971</v>
      </c>
      <c r="CE6" s="136">
        <v>527.25</v>
      </c>
      <c r="CF6" s="136">
        <v>476.75</v>
      </c>
      <c r="CG6" s="151">
        <v>-9.5779990516832605</v>
      </c>
      <c r="CH6" s="141" t="s">
        <v>17</v>
      </c>
      <c r="CI6" s="135">
        <v>45978</v>
      </c>
      <c r="CJ6" s="136">
        <v>504.5</v>
      </c>
      <c r="CK6" s="136">
        <v>485</v>
      </c>
      <c r="CL6" s="142">
        <v>-3.86521308225967</v>
      </c>
      <c r="CM6" s="17"/>
      <c r="CP6" s="19"/>
      <c r="CQ6" s="18"/>
      <c r="CR6" s="17"/>
      <c r="CU6" s="19"/>
      <c r="CV6" s="18"/>
      <c r="DA6" s="69" t="s">
        <v>17</v>
      </c>
      <c r="DB6" s="71">
        <f t="shared" si="0"/>
        <v>483.88235294117646</v>
      </c>
      <c r="DC6" s="112">
        <f t="shared" si="1"/>
        <v>445.47058823529414</v>
      </c>
      <c r="DD6" s="109">
        <f t="shared" si="2"/>
        <v>4.2608801361536608E-2</v>
      </c>
      <c r="DE6" s="127">
        <f t="shared" si="3"/>
        <v>8.8736300013204747E-2</v>
      </c>
      <c r="DF6" s="64">
        <f t="shared" si="4"/>
        <v>-4.3148411569464203E-2</v>
      </c>
      <c r="DG6" s="63">
        <f t="shared" si="5"/>
        <v>1.7304667016255899E-2</v>
      </c>
      <c r="DH6" s="109">
        <f t="shared" si="6"/>
        <v>0.25108493490390577</v>
      </c>
      <c r="DI6" s="63">
        <f t="shared" si="7"/>
        <v>0.4139941690962099</v>
      </c>
    </row>
    <row r="7" spans="1:114" x14ac:dyDescent="0.2">
      <c r="A7" s="30" t="s">
        <v>65</v>
      </c>
      <c r="B7" s="86">
        <v>45874</v>
      </c>
      <c r="C7" s="27">
        <v>531.75</v>
      </c>
      <c r="D7" s="27">
        <v>483.75</v>
      </c>
      <c r="E7" s="49">
        <v>-9.0267983074753104</v>
      </c>
      <c r="F7" s="30"/>
      <c r="G7" s="28"/>
      <c r="H7" s="27"/>
      <c r="I7" s="27"/>
      <c r="J7" s="49"/>
      <c r="K7" s="30" t="s">
        <v>65</v>
      </c>
      <c r="L7" s="28">
        <v>45874</v>
      </c>
      <c r="M7" s="27">
        <v>531.75</v>
      </c>
      <c r="N7" s="27">
        <v>483.75</v>
      </c>
      <c r="O7" s="49">
        <v>-9.0267983074753104</v>
      </c>
      <c r="P7" s="30" t="s">
        <v>65</v>
      </c>
      <c r="Q7" s="28">
        <v>45880</v>
      </c>
      <c r="R7" s="27">
        <v>498.25</v>
      </c>
      <c r="S7" s="27">
        <v>475.25</v>
      </c>
      <c r="T7" s="49">
        <v>-4.6161565479177096</v>
      </c>
      <c r="U7" s="35" t="s">
        <v>65</v>
      </c>
      <c r="V7" s="32">
        <v>45886</v>
      </c>
      <c r="W7" s="26">
        <v>544.75</v>
      </c>
      <c r="X7" s="26">
        <v>496.25</v>
      </c>
      <c r="Y7" s="40">
        <v>-8.90316659017898</v>
      </c>
      <c r="Z7" s="35" t="s">
        <v>65</v>
      </c>
      <c r="AA7" s="32">
        <v>45894</v>
      </c>
      <c r="AB7" s="26">
        <v>502.5</v>
      </c>
      <c r="AC7" s="26">
        <v>469.5</v>
      </c>
      <c r="AD7" s="40">
        <v>-6.5671641791044699</v>
      </c>
      <c r="AE7" s="35" t="s">
        <v>65</v>
      </c>
      <c r="AF7" s="32">
        <v>45901</v>
      </c>
      <c r="AG7" s="26">
        <v>516.5</v>
      </c>
      <c r="AH7" s="26">
        <v>483.75</v>
      </c>
      <c r="AI7" s="40">
        <v>-6.3407550822846099</v>
      </c>
      <c r="AJ7" s="35" t="s">
        <v>65</v>
      </c>
      <c r="AK7" s="32">
        <v>45908</v>
      </c>
      <c r="AL7" s="26">
        <v>498.75</v>
      </c>
      <c r="AM7" s="26">
        <v>478</v>
      </c>
      <c r="AN7" s="40">
        <v>-4.1604010025062603</v>
      </c>
      <c r="AO7" s="35" t="s">
        <v>65</v>
      </c>
      <c r="AP7" s="32">
        <v>45915</v>
      </c>
      <c r="AQ7" s="26">
        <v>483.5</v>
      </c>
      <c r="AR7" s="26">
        <v>463.5</v>
      </c>
      <c r="AS7" s="40">
        <v>-4.1365046535677399</v>
      </c>
      <c r="AT7" s="35" t="s">
        <v>65</v>
      </c>
      <c r="AU7" s="32">
        <v>45922</v>
      </c>
      <c r="AV7" s="26">
        <v>498</v>
      </c>
      <c r="AW7" s="26">
        <v>503.25</v>
      </c>
      <c r="AX7" s="40">
        <v>1.0432190760059601</v>
      </c>
      <c r="AY7" s="35" t="s">
        <v>65</v>
      </c>
      <c r="AZ7" s="32">
        <v>45929</v>
      </c>
      <c r="BA7" s="26">
        <v>523.5</v>
      </c>
      <c r="BB7" s="26">
        <v>467.75</v>
      </c>
      <c r="BC7" s="40">
        <v>-10.649474689589301</v>
      </c>
      <c r="BD7" s="35" t="s">
        <v>65</v>
      </c>
      <c r="BE7" s="32">
        <v>45936</v>
      </c>
      <c r="BF7" s="26">
        <v>519.75</v>
      </c>
      <c r="BG7" s="26">
        <v>460.25</v>
      </c>
      <c r="BH7" s="40">
        <v>-11.4478114478114</v>
      </c>
      <c r="BI7" s="35" t="s">
        <v>65</v>
      </c>
      <c r="BJ7" s="32">
        <v>45943</v>
      </c>
      <c r="BK7" s="26">
        <v>526.5</v>
      </c>
      <c r="BL7" s="26">
        <v>479.25</v>
      </c>
      <c r="BM7" s="40">
        <v>-8.9743589743589691</v>
      </c>
      <c r="BN7" s="35"/>
      <c r="BO7" s="26"/>
      <c r="BP7" s="26"/>
      <c r="BQ7" s="26"/>
      <c r="BR7" s="40"/>
      <c r="BS7" s="30"/>
      <c r="BT7" s="27"/>
      <c r="BU7" s="27"/>
      <c r="BV7" s="27"/>
      <c r="BW7" s="49"/>
      <c r="BX7" s="30"/>
      <c r="BY7" s="27"/>
      <c r="BZ7" s="27"/>
      <c r="CA7" s="27"/>
      <c r="CB7" s="49"/>
      <c r="CC7" s="30"/>
      <c r="CD7" s="27"/>
      <c r="CE7" s="27"/>
      <c r="CF7" s="27"/>
      <c r="CG7" s="49"/>
      <c r="CH7" s="30"/>
      <c r="CI7" s="27"/>
      <c r="CJ7" s="27"/>
      <c r="CK7" s="27"/>
      <c r="CL7" s="31"/>
      <c r="CM7" s="17"/>
      <c r="CP7" s="19"/>
      <c r="CQ7" s="18"/>
      <c r="CR7" s="17"/>
      <c r="CU7" s="19"/>
      <c r="CV7" s="18"/>
      <c r="CW7" s="17"/>
      <c r="DA7" s="91" t="s">
        <v>65</v>
      </c>
      <c r="DB7" s="71">
        <f t="shared" si="0"/>
        <v>514.625</v>
      </c>
      <c r="DC7" s="112">
        <f t="shared" si="1"/>
        <v>478.6875</v>
      </c>
      <c r="DD7" s="109"/>
      <c r="DE7" s="127"/>
      <c r="DF7" s="64"/>
      <c r="DG7" s="63"/>
      <c r="DH7" s="109"/>
      <c r="DI7" s="63"/>
    </row>
    <row r="8" spans="1:114" x14ac:dyDescent="0.2">
      <c r="A8" s="35" t="s">
        <v>21</v>
      </c>
      <c r="B8" s="32">
        <v>45862</v>
      </c>
      <c r="C8" s="26">
        <v>502.25</v>
      </c>
      <c r="D8" s="26">
        <v>347.75</v>
      </c>
      <c r="E8" s="41">
        <v>-30.761572921851599</v>
      </c>
      <c r="F8" s="30" t="s">
        <v>21</v>
      </c>
      <c r="G8" s="28">
        <v>45869</v>
      </c>
      <c r="H8" s="27">
        <v>437.75</v>
      </c>
      <c r="I8" s="27">
        <v>365</v>
      </c>
      <c r="J8" s="67">
        <v>-16.619074814391698</v>
      </c>
      <c r="K8" s="30" t="s">
        <v>21</v>
      </c>
      <c r="L8" s="28">
        <v>45874</v>
      </c>
      <c r="M8" s="27">
        <v>475.75</v>
      </c>
      <c r="N8" s="27">
        <v>408.25</v>
      </c>
      <c r="O8" s="49">
        <v>-14.188124014713599</v>
      </c>
      <c r="P8" s="30" t="s">
        <v>21</v>
      </c>
      <c r="Q8" s="28">
        <v>45880</v>
      </c>
      <c r="R8" s="27">
        <v>511.5</v>
      </c>
      <c r="S8" s="27">
        <v>378</v>
      </c>
      <c r="T8" s="67">
        <v>-26.099706744868001</v>
      </c>
      <c r="U8" s="35" t="s">
        <v>21</v>
      </c>
      <c r="V8" s="32">
        <v>45886</v>
      </c>
      <c r="W8" s="26">
        <v>510.5</v>
      </c>
      <c r="X8" s="26">
        <v>361.25</v>
      </c>
      <c r="Y8" s="41">
        <v>-29.236043095004799</v>
      </c>
      <c r="Z8" s="35" t="s">
        <v>21</v>
      </c>
      <c r="AA8" s="32">
        <v>45894</v>
      </c>
      <c r="AB8" s="26">
        <v>469.25</v>
      </c>
      <c r="AC8" s="26">
        <v>400</v>
      </c>
      <c r="AD8" s="40">
        <v>-14.7575919019712</v>
      </c>
      <c r="AE8" s="35" t="s">
        <v>21</v>
      </c>
      <c r="AF8" s="32">
        <v>45901</v>
      </c>
      <c r="AG8" s="26">
        <v>475.5</v>
      </c>
      <c r="AH8" s="26">
        <v>330.25</v>
      </c>
      <c r="AI8" s="41">
        <v>-30.546792849631899</v>
      </c>
      <c r="AJ8" s="35" t="s">
        <v>21</v>
      </c>
      <c r="AK8" s="32">
        <v>45908</v>
      </c>
      <c r="AL8" s="26">
        <v>455.5</v>
      </c>
      <c r="AM8" s="26">
        <v>344.5</v>
      </c>
      <c r="AN8" s="41">
        <v>-24.368825466520299</v>
      </c>
      <c r="AO8" s="35" t="s">
        <v>21</v>
      </c>
      <c r="AP8" s="32">
        <v>45915</v>
      </c>
      <c r="AQ8" s="26">
        <v>470.25</v>
      </c>
      <c r="AR8" s="26">
        <v>351.5</v>
      </c>
      <c r="AS8" s="41">
        <v>-25.252525252525199</v>
      </c>
      <c r="AT8" s="35" t="s">
        <v>21</v>
      </c>
      <c r="AU8" s="32">
        <v>45922</v>
      </c>
      <c r="AV8" s="26">
        <v>474.5</v>
      </c>
      <c r="AW8" s="26">
        <v>395.25</v>
      </c>
      <c r="AX8" s="41">
        <v>-16.7017913593256</v>
      </c>
      <c r="AY8" s="35" t="s">
        <v>21</v>
      </c>
      <c r="AZ8" s="32">
        <v>45929</v>
      </c>
      <c r="BA8" s="26">
        <v>492.75</v>
      </c>
      <c r="BB8" s="26">
        <v>367</v>
      </c>
      <c r="BC8" s="41">
        <v>-25.5200405885337</v>
      </c>
      <c r="BD8" s="35" t="s">
        <v>21</v>
      </c>
      <c r="BE8" s="32">
        <v>45936</v>
      </c>
      <c r="BF8" s="26">
        <v>432.75</v>
      </c>
      <c r="BG8" s="26">
        <v>377.25</v>
      </c>
      <c r="BH8" s="40">
        <v>-12.8249566724436</v>
      </c>
      <c r="BI8" s="35" t="s">
        <v>21</v>
      </c>
      <c r="BJ8" s="32">
        <v>45943</v>
      </c>
      <c r="BK8" s="26">
        <v>449.5</v>
      </c>
      <c r="BL8" s="26">
        <v>402</v>
      </c>
      <c r="BM8" s="40">
        <v>-10.5672969966629</v>
      </c>
      <c r="BN8" s="35" t="s">
        <v>21</v>
      </c>
      <c r="BO8" s="32">
        <v>45950</v>
      </c>
      <c r="BP8" s="26">
        <v>447.75</v>
      </c>
      <c r="BQ8" s="26">
        <v>402.5</v>
      </c>
      <c r="BR8" s="40">
        <v>-10.106085985482901</v>
      </c>
      <c r="BS8" s="30" t="s">
        <v>21</v>
      </c>
      <c r="BT8" s="28">
        <v>45957</v>
      </c>
      <c r="BU8" s="27">
        <v>481.25</v>
      </c>
      <c r="BV8" s="27">
        <v>401.5</v>
      </c>
      <c r="BW8" s="67">
        <v>-16.571428571428498</v>
      </c>
      <c r="BX8" s="129" t="s">
        <v>21</v>
      </c>
      <c r="BY8" s="117">
        <v>45964</v>
      </c>
      <c r="BZ8" s="116">
        <v>465.25</v>
      </c>
      <c r="CA8" s="116">
        <v>438.5</v>
      </c>
      <c r="CB8" s="133">
        <v>-5.7495969908651201</v>
      </c>
      <c r="CC8" s="141" t="s">
        <v>21</v>
      </c>
      <c r="CD8" s="135">
        <v>45971</v>
      </c>
      <c r="CE8" s="136">
        <v>472.25</v>
      </c>
      <c r="CF8" s="136">
        <v>441.5</v>
      </c>
      <c r="CG8" s="151">
        <v>-6.5113816834303799</v>
      </c>
      <c r="CH8" s="141" t="s">
        <v>21</v>
      </c>
      <c r="CI8" s="135">
        <v>45978</v>
      </c>
      <c r="CJ8" s="136">
        <v>464</v>
      </c>
      <c r="CK8" s="136">
        <v>429</v>
      </c>
      <c r="CL8" s="142">
        <v>-7.5431034482758701</v>
      </c>
      <c r="CP8" s="19"/>
      <c r="CQ8" s="18"/>
      <c r="CR8" s="17"/>
      <c r="CU8" s="19"/>
      <c r="CV8" s="18"/>
      <c r="DA8" s="69" t="s">
        <v>21</v>
      </c>
      <c r="DB8" s="71">
        <f t="shared" si="0"/>
        <v>471.56944444444446</v>
      </c>
      <c r="DC8" s="112">
        <f t="shared" si="1"/>
        <v>385.61111111111109</v>
      </c>
      <c r="DD8" s="109">
        <f t="shared" si="2"/>
        <v>-1.6051600742202483E-2</v>
      </c>
      <c r="DE8" s="127">
        <f t="shared" si="3"/>
        <v>0.11251980982567361</v>
      </c>
      <c r="DF8" s="64">
        <f t="shared" si="4"/>
        <v>-1.7469560614081524E-2</v>
      </c>
      <c r="DG8" s="63">
        <f t="shared" si="5"/>
        <v>-2.8312570781426953E-2</v>
      </c>
      <c r="DH8" s="109">
        <f t="shared" si="6"/>
        <v>-7.6157292185166744E-2</v>
      </c>
      <c r="DI8" s="63">
        <f t="shared" si="7"/>
        <v>0.23364485981308411</v>
      </c>
    </row>
    <row r="9" spans="1:114" x14ac:dyDescent="0.2">
      <c r="A9" s="35" t="s">
        <v>22</v>
      </c>
      <c r="B9" s="32">
        <v>45862</v>
      </c>
      <c r="C9" s="26">
        <v>614.75</v>
      </c>
      <c r="D9" s="26">
        <v>439</v>
      </c>
      <c r="E9" s="41">
        <v>-28.5888572590483</v>
      </c>
      <c r="F9" s="30" t="s">
        <v>22</v>
      </c>
      <c r="G9" s="28">
        <v>45869</v>
      </c>
      <c r="H9" s="27">
        <v>629.75</v>
      </c>
      <c r="I9" s="27">
        <v>433.25</v>
      </c>
      <c r="J9" s="67">
        <v>-31.202858277093998</v>
      </c>
      <c r="K9" s="30" t="s">
        <v>22</v>
      </c>
      <c r="L9" s="28">
        <v>45874</v>
      </c>
      <c r="M9" s="27">
        <v>689.75</v>
      </c>
      <c r="N9" s="27">
        <v>477</v>
      </c>
      <c r="O9" s="67">
        <v>-30.844508880028901</v>
      </c>
      <c r="P9" s="30" t="s">
        <v>22</v>
      </c>
      <c r="Q9" s="28">
        <v>45880</v>
      </c>
      <c r="R9" s="27">
        <v>572.75</v>
      </c>
      <c r="S9" s="27">
        <v>398.75</v>
      </c>
      <c r="T9" s="67">
        <v>-30.379746835443001</v>
      </c>
      <c r="U9" s="35" t="s">
        <v>22</v>
      </c>
      <c r="V9" s="32">
        <v>45886</v>
      </c>
      <c r="W9" s="26">
        <v>680.5</v>
      </c>
      <c r="X9" s="26">
        <v>486.5</v>
      </c>
      <c r="Y9" s="41">
        <v>-28.508449669360701</v>
      </c>
      <c r="Z9" s="35" t="s">
        <v>22</v>
      </c>
      <c r="AA9" s="32">
        <v>45894</v>
      </c>
      <c r="AB9" s="26">
        <v>665.5</v>
      </c>
      <c r="AC9" s="26">
        <v>519.75</v>
      </c>
      <c r="AD9" s="41">
        <v>-21.900826446280899</v>
      </c>
      <c r="AE9" s="35" t="s">
        <v>22</v>
      </c>
      <c r="AF9" s="32">
        <v>45901</v>
      </c>
      <c r="AG9" s="26">
        <v>715.25</v>
      </c>
      <c r="AH9" s="26">
        <v>538.5</v>
      </c>
      <c r="AI9" s="41">
        <v>-24.711639286962601</v>
      </c>
      <c r="AJ9" s="35" t="s">
        <v>22</v>
      </c>
      <c r="AK9" s="32">
        <v>45908</v>
      </c>
      <c r="AL9" s="26">
        <v>688.5</v>
      </c>
      <c r="AM9" s="26">
        <v>498.75</v>
      </c>
      <c r="AN9" s="41">
        <v>-27.5599128540305</v>
      </c>
      <c r="AO9" s="35" t="s">
        <v>22</v>
      </c>
      <c r="AP9" s="32">
        <v>45915</v>
      </c>
      <c r="AQ9" s="26">
        <v>722</v>
      </c>
      <c r="AR9" s="26">
        <v>562.25</v>
      </c>
      <c r="AS9" s="41">
        <v>-22.126038781163398</v>
      </c>
      <c r="AT9" s="35" t="s">
        <v>22</v>
      </c>
      <c r="AU9" s="32">
        <v>45922</v>
      </c>
      <c r="AV9" s="26">
        <v>673</v>
      </c>
      <c r="AW9" s="26">
        <v>581.25</v>
      </c>
      <c r="AX9" s="40">
        <v>-13.632986627043</v>
      </c>
      <c r="AY9" s="35" t="s">
        <v>22</v>
      </c>
      <c r="AZ9" s="32">
        <v>45929</v>
      </c>
      <c r="BA9" s="26">
        <v>635.25</v>
      </c>
      <c r="BB9" s="26">
        <v>459</v>
      </c>
      <c r="BC9" s="41">
        <v>-27.744982290436798</v>
      </c>
      <c r="BD9" s="35" t="s">
        <v>22</v>
      </c>
      <c r="BE9" s="32">
        <v>45936</v>
      </c>
      <c r="BF9" s="26">
        <v>677</v>
      </c>
      <c r="BG9" s="26">
        <v>558.5</v>
      </c>
      <c r="BH9" s="41">
        <v>-17.503692762186098</v>
      </c>
      <c r="BI9" s="35" t="s">
        <v>22</v>
      </c>
      <c r="BJ9" s="32">
        <v>45943</v>
      </c>
      <c r="BK9" s="26">
        <v>701.5</v>
      </c>
      <c r="BL9" s="26">
        <v>500</v>
      </c>
      <c r="BM9" s="41">
        <v>-28.724162508909401</v>
      </c>
      <c r="BN9" s="35" t="s">
        <v>22</v>
      </c>
      <c r="BO9" s="32">
        <v>45950</v>
      </c>
      <c r="BP9" s="26">
        <v>684.75</v>
      </c>
      <c r="BQ9" s="26">
        <v>536.75</v>
      </c>
      <c r="BR9" s="41">
        <v>-21.613727637823999</v>
      </c>
      <c r="BS9" s="30" t="s">
        <v>22</v>
      </c>
      <c r="BT9" s="28">
        <v>45957</v>
      </c>
      <c r="BU9" s="27">
        <v>651.75</v>
      </c>
      <c r="BV9" s="27">
        <v>523.25</v>
      </c>
      <c r="BW9" s="67">
        <v>-19.7161488300728</v>
      </c>
      <c r="BX9" s="129" t="s">
        <v>22</v>
      </c>
      <c r="BY9" s="117">
        <v>45964</v>
      </c>
      <c r="BZ9" s="116">
        <v>711</v>
      </c>
      <c r="CA9" s="116">
        <v>571</v>
      </c>
      <c r="CB9" s="148">
        <v>-19.690576652602001</v>
      </c>
      <c r="CC9" s="141" t="s">
        <v>22</v>
      </c>
      <c r="CD9" s="135">
        <v>45971</v>
      </c>
      <c r="CE9" s="136">
        <v>728</v>
      </c>
      <c r="CF9" s="136">
        <v>541.25</v>
      </c>
      <c r="CG9" s="154">
        <v>-25.652472527472501</v>
      </c>
      <c r="CH9" s="141" t="s">
        <v>22</v>
      </c>
      <c r="CI9" s="135">
        <v>45978</v>
      </c>
      <c r="CJ9" s="136">
        <v>742.75</v>
      </c>
      <c r="CK9" s="136">
        <v>567</v>
      </c>
      <c r="CL9" s="149">
        <v>-23.662066644227501</v>
      </c>
      <c r="CM9" s="17"/>
      <c r="CP9" s="19"/>
      <c r="CQ9" s="18"/>
      <c r="CR9" s="17"/>
      <c r="CU9" s="19"/>
      <c r="CV9" s="18"/>
      <c r="CW9" s="17"/>
      <c r="DA9" s="69" t="s">
        <v>22</v>
      </c>
      <c r="DB9" s="71">
        <f t="shared" si="0"/>
        <v>676.875</v>
      </c>
      <c r="DC9" s="112">
        <f t="shared" si="1"/>
        <v>510.65277777777777</v>
      </c>
      <c r="DD9" s="109">
        <f t="shared" si="2"/>
        <v>9.7322253000923356E-2</v>
      </c>
      <c r="DE9" s="127">
        <f t="shared" si="3"/>
        <v>0.11034351456469117</v>
      </c>
      <c r="DF9" s="64">
        <f t="shared" si="4"/>
        <v>2.0260989010989012E-2</v>
      </c>
      <c r="DG9" s="63">
        <f t="shared" si="5"/>
        <v>4.7575057736720557E-2</v>
      </c>
      <c r="DH9" s="109">
        <f t="shared" si="6"/>
        <v>0.20821472143147621</v>
      </c>
      <c r="DI9" s="63">
        <f t="shared" si="7"/>
        <v>0.29157175398633256</v>
      </c>
      <c r="DJ9" s="1"/>
    </row>
    <row r="10" spans="1:114" x14ac:dyDescent="0.2">
      <c r="A10" s="35" t="s">
        <v>24</v>
      </c>
      <c r="B10" s="32">
        <v>45862</v>
      </c>
      <c r="C10" s="26">
        <v>611.5</v>
      </c>
      <c r="D10" s="26">
        <v>541.75</v>
      </c>
      <c r="E10" s="40">
        <v>-11.4063777596075</v>
      </c>
      <c r="F10" s="30" t="s">
        <v>24</v>
      </c>
      <c r="G10" s="28">
        <v>45869</v>
      </c>
      <c r="H10" s="27">
        <v>515.75</v>
      </c>
      <c r="I10" s="27">
        <v>492.5</v>
      </c>
      <c r="J10" s="49">
        <v>-4.5079980610761003</v>
      </c>
      <c r="K10" s="30" t="s">
        <v>24</v>
      </c>
      <c r="L10" s="28">
        <v>45874</v>
      </c>
      <c r="M10" s="27">
        <v>485.75</v>
      </c>
      <c r="N10" s="27">
        <v>464.75</v>
      </c>
      <c r="O10" s="49">
        <v>-4.3232115285640704</v>
      </c>
      <c r="P10" s="30" t="s">
        <v>24</v>
      </c>
      <c r="Q10" s="28">
        <v>45880</v>
      </c>
      <c r="R10" s="27">
        <v>598.75</v>
      </c>
      <c r="S10" s="27">
        <v>525.25</v>
      </c>
      <c r="T10" s="49">
        <v>-12.2755741127348</v>
      </c>
      <c r="U10" s="35" t="s">
        <v>24</v>
      </c>
      <c r="V10" s="32">
        <v>45886</v>
      </c>
      <c r="W10" s="26">
        <v>590.25</v>
      </c>
      <c r="X10" s="26">
        <v>577.25</v>
      </c>
      <c r="Y10" s="40">
        <v>-2.20245658619229</v>
      </c>
      <c r="Z10" s="35" t="s">
        <v>24</v>
      </c>
      <c r="AA10" s="32">
        <v>45894</v>
      </c>
      <c r="AB10" s="26">
        <v>555.75</v>
      </c>
      <c r="AC10" s="26">
        <v>621.25</v>
      </c>
      <c r="AD10" s="40">
        <v>10.543259557343999</v>
      </c>
      <c r="AE10" s="35"/>
      <c r="AF10" s="26"/>
      <c r="AG10" s="26"/>
      <c r="AH10" s="26"/>
      <c r="AI10" s="40"/>
      <c r="AJ10" s="35"/>
      <c r="AK10" s="26"/>
      <c r="AL10" s="26"/>
      <c r="AM10" s="26"/>
      <c r="AN10" s="40"/>
      <c r="AO10" s="35"/>
      <c r="AP10" s="26"/>
      <c r="AQ10" s="26"/>
      <c r="AR10" s="26"/>
      <c r="AS10" s="40"/>
      <c r="AT10" s="35" t="s">
        <v>24</v>
      </c>
      <c r="AU10" s="32">
        <v>45922</v>
      </c>
      <c r="AV10" s="26">
        <v>533</v>
      </c>
      <c r="AW10" s="26">
        <v>474</v>
      </c>
      <c r="AX10" s="40">
        <v>-11.069418386491501</v>
      </c>
      <c r="AY10" s="35" t="s">
        <v>24</v>
      </c>
      <c r="AZ10" s="32">
        <v>45929</v>
      </c>
      <c r="BA10" s="26">
        <v>521.25</v>
      </c>
      <c r="BB10" s="26">
        <v>575.5</v>
      </c>
      <c r="BC10" s="40">
        <v>9.4265855777584697</v>
      </c>
      <c r="BD10" s="35" t="s">
        <v>24</v>
      </c>
      <c r="BE10" s="32">
        <v>45936</v>
      </c>
      <c r="BF10" s="26">
        <v>514.25</v>
      </c>
      <c r="BG10" s="26">
        <v>463.5</v>
      </c>
      <c r="BH10" s="40">
        <v>-9.8687408847836604</v>
      </c>
      <c r="BI10" s="35" t="s">
        <v>24</v>
      </c>
      <c r="BJ10" s="32">
        <v>45943</v>
      </c>
      <c r="BK10" s="26">
        <v>584.75</v>
      </c>
      <c r="BL10" s="26">
        <v>562</v>
      </c>
      <c r="BM10" s="40">
        <v>-3.8905515177426202</v>
      </c>
      <c r="BN10" s="35" t="s">
        <v>24</v>
      </c>
      <c r="BO10" s="32">
        <v>45950</v>
      </c>
      <c r="BP10" s="26">
        <v>645</v>
      </c>
      <c r="BQ10" s="26">
        <v>582.75</v>
      </c>
      <c r="BR10" s="40">
        <v>-9.6511627906976702</v>
      </c>
      <c r="BS10" s="30" t="s">
        <v>24</v>
      </c>
      <c r="BT10" s="28">
        <v>45957</v>
      </c>
      <c r="BU10" s="27">
        <v>552.25</v>
      </c>
      <c r="BV10" s="27">
        <v>551</v>
      </c>
      <c r="BW10" s="49">
        <v>-0.22634676324128</v>
      </c>
      <c r="BX10" s="129" t="s">
        <v>24</v>
      </c>
      <c r="BY10" s="117">
        <v>45964</v>
      </c>
      <c r="BZ10" s="116">
        <v>624.25</v>
      </c>
      <c r="CA10" s="116">
        <v>542</v>
      </c>
      <c r="CB10" s="133">
        <v>-13.175810973167801</v>
      </c>
      <c r="CC10" s="141" t="s">
        <v>24</v>
      </c>
      <c r="CD10" s="135">
        <v>45971</v>
      </c>
      <c r="CE10" s="136">
        <v>579.25</v>
      </c>
      <c r="CF10" s="136">
        <v>544.5</v>
      </c>
      <c r="CG10" s="151">
        <v>-5.9991368148467803</v>
      </c>
      <c r="CH10" s="141" t="s">
        <v>24</v>
      </c>
      <c r="CI10" s="135">
        <v>45978</v>
      </c>
      <c r="CJ10" s="136">
        <v>514.5</v>
      </c>
      <c r="CK10" s="136">
        <v>508.5</v>
      </c>
      <c r="CL10" s="142">
        <v>-1.1661807580174901</v>
      </c>
      <c r="CM10" s="17"/>
      <c r="CP10" s="19"/>
      <c r="CQ10" s="18"/>
      <c r="CR10" s="17"/>
      <c r="CU10" s="19"/>
      <c r="CV10" s="18"/>
      <c r="DA10" s="69" t="s">
        <v>24</v>
      </c>
      <c r="DB10" s="71">
        <f t="shared" si="0"/>
        <v>561.75</v>
      </c>
      <c r="DC10" s="112">
        <f t="shared" si="1"/>
        <v>535.1</v>
      </c>
      <c r="DD10" s="109">
        <f t="shared" si="2"/>
        <v>-8.4112149532710276E-2</v>
      </c>
      <c r="DE10" s="127">
        <f t="shared" si="3"/>
        <v>-4.9710334516912764E-2</v>
      </c>
      <c r="DF10" s="64">
        <f t="shared" si="4"/>
        <v>-0.11178247734138973</v>
      </c>
      <c r="DG10" s="63">
        <f t="shared" si="5"/>
        <v>-6.6115702479338845E-2</v>
      </c>
      <c r="DH10" s="109">
        <f t="shared" si="6"/>
        <v>-0.15862632869991825</v>
      </c>
      <c r="DI10" s="63">
        <f t="shared" si="7"/>
        <v>-6.1375173050299957E-2</v>
      </c>
    </row>
    <row r="11" spans="1:114" x14ac:dyDescent="0.2">
      <c r="A11" s="35" t="s">
        <v>27</v>
      </c>
      <c r="B11" s="32">
        <v>45862</v>
      </c>
      <c r="C11" s="26">
        <v>328.75</v>
      </c>
      <c r="D11" s="26">
        <v>312</v>
      </c>
      <c r="E11" s="40">
        <v>-5.0950570342205204</v>
      </c>
      <c r="F11" s="30" t="s">
        <v>27</v>
      </c>
      <c r="G11" s="28">
        <v>45869</v>
      </c>
      <c r="H11" s="27">
        <v>367.5</v>
      </c>
      <c r="I11" s="27">
        <v>356.75</v>
      </c>
      <c r="J11" s="49">
        <v>-2.9251700680272101</v>
      </c>
      <c r="K11" s="30" t="s">
        <v>27</v>
      </c>
      <c r="L11" s="28">
        <v>45874</v>
      </c>
      <c r="M11" s="27">
        <v>410.75</v>
      </c>
      <c r="N11" s="27">
        <v>374.5</v>
      </c>
      <c r="O11" s="49">
        <v>-8.8253195374315307</v>
      </c>
      <c r="P11" s="30" t="s">
        <v>27</v>
      </c>
      <c r="Q11" s="28">
        <v>45880</v>
      </c>
      <c r="R11" s="27">
        <v>446.75</v>
      </c>
      <c r="S11" s="27">
        <v>372.25</v>
      </c>
      <c r="T11" s="67">
        <v>-16.675993284834899</v>
      </c>
      <c r="U11" s="35" t="s">
        <v>27</v>
      </c>
      <c r="V11" s="32">
        <v>45886</v>
      </c>
      <c r="W11" s="26">
        <v>451</v>
      </c>
      <c r="X11" s="26">
        <v>366.25</v>
      </c>
      <c r="Y11" s="41">
        <v>-18.791574279379098</v>
      </c>
      <c r="Z11" s="35" t="s">
        <v>27</v>
      </c>
      <c r="AA11" s="32">
        <v>45894</v>
      </c>
      <c r="AB11" s="26">
        <v>394.25</v>
      </c>
      <c r="AC11" s="26">
        <v>396.25</v>
      </c>
      <c r="AD11" s="40">
        <v>0.50473186119873703</v>
      </c>
      <c r="AE11" s="35" t="s">
        <v>27</v>
      </c>
      <c r="AF11" s="32">
        <v>45901</v>
      </c>
      <c r="AG11" s="26">
        <v>365.5</v>
      </c>
      <c r="AH11" s="26">
        <v>365.25</v>
      </c>
      <c r="AI11" s="40">
        <v>-6.8399452804379604E-2</v>
      </c>
      <c r="AJ11" s="35" t="s">
        <v>27</v>
      </c>
      <c r="AK11" s="32">
        <v>45908</v>
      </c>
      <c r="AL11" s="26">
        <v>460</v>
      </c>
      <c r="AM11" s="26">
        <v>333.25</v>
      </c>
      <c r="AN11" s="41">
        <v>-27.5543478260869</v>
      </c>
      <c r="AO11" s="35" t="s">
        <v>27</v>
      </c>
      <c r="AP11" s="32">
        <v>45915</v>
      </c>
      <c r="AQ11" s="26">
        <v>459</v>
      </c>
      <c r="AR11" s="26">
        <v>412</v>
      </c>
      <c r="AS11" s="40">
        <v>-10.239651416121999</v>
      </c>
      <c r="AT11" s="35" t="s">
        <v>27</v>
      </c>
      <c r="AU11" s="32">
        <v>45922</v>
      </c>
      <c r="AV11" s="26">
        <v>465</v>
      </c>
      <c r="AW11" s="26">
        <v>376</v>
      </c>
      <c r="AX11" s="41">
        <v>-19.1397849462365</v>
      </c>
      <c r="AY11" s="35" t="s">
        <v>27</v>
      </c>
      <c r="AZ11" s="32">
        <v>45929</v>
      </c>
      <c r="BA11" s="26">
        <v>415</v>
      </c>
      <c r="BB11" s="26">
        <v>378.5</v>
      </c>
      <c r="BC11" s="40">
        <v>-8.7951807228915708</v>
      </c>
      <c r="BD11" s="35" t="s">
        <v>27</v>
      </c>
      <c r="BE11" s="32">
        <v>45936</v>
      </c>
      <c r="BF11" s="26">
        <v>351.25</v>
      </c>
      <c r="BG11" s="26">
        <v>306.75</v>
      </c>
      <c r="BH11" s="40">
        <v>-12.6690391459074</v>
      </c>
      <c r="BI11" s="35" t="s">
        <v>27</v>
      </c>
      <c r="BJ11" s="32">
        <v>45943</v>
      </c>
      <c r="BK11" s="26">
        <v>409.5</v>
      </c>
      <c r="BL11" s="26">
        <v>303.25</v>
      </c>
      <c r="BM11" s="41">
        <v>-25.9462759462759</v>
      </c>
      <c r="BN11" s="35" t="s">
        <v>27</v>
      </c>
      <c r="BO11" s="32">
        <v>45950</v>
      </c>
      <c r="BP11" s="26">
        <v>407.75</v>
      </c>
      <c r="BQ11" s="26">
        <v>401</v>
      </c>
      <c r="BR11" s="40">
        <v>-1.65542611894543</v>
      </c>
      <c r="BS11" s="30" t="s">
        <v>27</v>
      </c>
      <c r="BT11" s="28">
        <v>45957</v>
      </c>
      <c r="BU11" s="27">
        <v>380.5</v>
      </c>
      <c r="BV11" s="27">
        <v>380.75</v>
      </c>
      <c r="BW11" s="49">
        <v>6.5659881812207804E-2</v>
      </c>
      <c r="BX11" s="129" t="s">
        <v>27</v>
      </c>
      <c r="BY11" s="117">
        <v>45964</v>
      </c>
      <c r="BZ11" s="116">
        <v>346.5</v>
      </c>
      <c r="CA11" s="116">
        <v>391.5</v>
      </c>
      <c r="CB11" s="133">
        <v>11.4942528735632</v>
      </c>
      <c r="CC11" s="141" t="s">
        <v>27</v>
      </c>
      <c r="CD11" s="135">
        <v>45971</v>
      </c>
      <c r="CE11" s="136">
        <v>330.5</v>
      </c>
      <c r="CF11" s="136">
        <v>330.75</v>
      </c>
      <c r="CG11" s="151">
        <v>7.5585789871501802E-2</v>
      </c>
      <c r="CH11" s="141" t="s">
        <v>27</v>
      </c>
      <c r="CI11" s="135">
        <v>45978</v>
      </c>
      <c r="CJ11" s="136">
        <v>334</v>
      </c>
      <c r="CK11" s="136">
        <v>366</v>
      </c>
      <c r="CL11" s="142">
        <v>8.7431693989070993</v>
      </c>
      <c r="CM11" s="17"/>
      <c r="CP11" s="19"/>
      <c r="CQ11" s="18"/>
      <c r="CR11" s="17"/>
      <c r="CU11" s="19"/>
      <c r="CV11" s="18"/>
      <c r="DA11" s="69" t="s">
        <v>27</v>
      </c>
      <c r="DB11" s="71">
        <f t="shared" si="0"/>
        <v>395.75</v>
      </c>
      <c r="DC11" s="112">
        <f t="shared" si="1"/>
        <v>362.38888888888891</v>
      </c>
      <c r="DD11" s="109">
        <f t="shared" si="2"/>
        <v>-0.15603284902084649</v>
      </c>
      <c r="DE11" s="127">
        <f t="shared" si="3"/>
        <v>9.9647401502375495E-3</v>
      </c>
      <c r="DF11" s="64">
        <f t="shared" si="4"/>
        <v>1.059001512859304E-2</v>
      </c>
      <c r="DG11" s="63">
        <f t="shared" si="5"/>
        <v>0.10657596371882086</v>
      </c>
      <c r="DH11" s="109">
        <f t="shared" si="6"/>
        <v>1.596958174904943E-2</v>
      </c>
      <c r="DI11" s="63">
        <f t="shared" si="7"/>
        <v>0.17307692307692307</v>
      </c>
    </row>
    <row r="12" spans="1:114" x14ac:dyDescent="0.2">
      <c r="A12" s="35" t="s">
        <v>28</v>
      </c>
      <c r="B12" s="32">
        <v>45862</v>
      </c>
      <c r="C12" s="26">
        <v>390.5</v>
      </c>
      <c r="D12" s="26">
        <v>355</v>
      </c>
      <c r="E12" s="40">
        <v>-9.0909090909090899</v>
      </c>
      <c r="F12" s="30" t="s">
        <v>28</v>
      </c>
      <c r="G12" s="28">
        <v>45869</v>
      </c>
      <c r="H12" s="27">
        <v>495</v>
      </c>
      <c r="I12" s="27">
        <v>385.5</v>
      </c>
      <c r="J12" s="67">
        <v>-22.1212121212121</v>
      </c>
      <c r="K12" s="30" t="s">
        <v>28</v>
      </c>
      <c r="L12" s="28">
        <v>45874</v>
      </c>
      <c r="M12" s="27">
        <v>476.25</v>
      </c>
      <c r="N12" s="27">
        <v>375.75</v>
      </c>
      <c r="O12" s="67">
        <v>-21.1023622047244</v>
      </c>
      <c r="P12" s="30" t="s">
        <v>28</v>
      </c>
      <c r="Q12" s="28">
        <v>45880</v>
      </c>
      <c r="R12" s="27">
        <v>450.25</v>
      </c>
      <c r="S12" s="27">
        <v>382.5</v>
      </c>
      <c r="T12" s="67">
        <v>-15.0471960022209</v>
      </c>
      <c r="U12" s="35" t="s">
        <v>28</v>
      </c>
      <c r="V12" s="32">
        <v>45886</v>
      </c>
      <c r="W12" s="26">
        <v>439</v>
      </c>
      <c r="X12" s="26">
        <v>351.75</v>
      </c>
      <c r="Y12" s="41">
        <v>-19.874715261958901</v>
      </c>
      <c r="Z12" s="35" t="s">
        <v>28</v>
      </c>
      <c r="AA12" s="32">
        <v>45894</v>
      </c>
      <c r="AB12" s="26">
        <v>334.75</v>
      </c>
      <c r="AC12" s="26">
        <v>350.75</v>
      </c>
      <c r="AD12" s="40">
        <v>4.56165359942979</v>
      </c>
      <c r="AE12" s="35" t="s">
        <v>28</v>
      </c>
      <c r="AF12" s="32">
        <v>45901</v>
      </c>
      <c r="AG12" s="26">
        <v>278.75</v>
      </c>
      <c r="AH12" s="26">
        <v>299.25</v>
      </c>
      <c r="AI12" s="40">
        <v>6.8504594820384197</v>
      </c>
      <c r="AJ12" s="35" t="s">
        <v>28</v>
      </c>
      <c r="AK12" s="32">
        <v>45908</v>
      </c>
      <c r="AL12" s="26">
        <v>411.75</v>
      </c>
      <c r="AM12" s="26">
        <v>334.75</v>
      </c>
      <c r="AN12" s="41">
        <v>-18.700667880995699</v>
      </c>
      <c r="AO12" s="35" t="s">
        <v>28</v>
      </c>
      <c r="AP12" s="32">
        <v>45915</v>
      </c>
      <c r="AQ12" s="26">
        <v>379.5</v>
      </c>
      <c r="AR12" s="26">
        <v>327</v>
      </c>
      <c r="AS12" s="40">
        <v>-13.8339920948616</v>
      </c>
      <c r="AT12" s="35" t="s">
        <v>28</v>
      </c>
      <c r="AU12" s="32">
        <v>45922</v>
      </c>
      <c r="AV12" s="26">
        <v>329</v>
      </c>
      <c r="AW12" s="26">
        <v>294.25</v>
      </c>
      <c r="AX12" s="40">
        <v>-10.5623100303951</v>
      </c>
      <c r="AY12" s="35" t="s">
        <v>28</v>
      </c>
      <c r="AZ12" s="32">
        <v>45929</v>
      </c>
      <c r="BA12" s="26">
        <v>364.25</v>
      </c>
      <c r="BB12" s="26">
        <v>296.75</v>
      </c>
      <c r="BC12" s="41">
        <v>-18.531228551818799</v>
      </c>
      <c r="BD12" s="35" t="s">
        <v>28</v>
      </c>
      <c r="BE12" s="32">
        <v>45936</v>
      </c>
      <c r="BF12" s="26">
        <v>411.5</v>
      </c>
      <c r="BG12" s="26">
        <v>337</v>
      </c>
      <c r="BH12" s="40">
        <v>-18.1044957472661</v>
      </c>
      <c r="BI12" s="35" t="s">
        <v>28</v>
      </c>
      <c r="BJ12" s="32">
        <v>45943</v>
      </c>
      <c r="BK12" s="26">
        <v>403.25</v>
      </c>
      <c r="BL12" s="26">
        <v>328</v>
      </c>
      <c r="BM12" s="41">
        <v>-18.660880347179098</v>
      </c>
      <c r="BN12" s="35" t="s">
        <v>28</v>
      </c>
      <c r="BO12" s="32">
        <v>45950</v>
      </c>
      <c r="BP12" s="26">
        <v>392.75</v>
      </c>
      <c r="BQ12" s="26">
        <v>295.75</v>
      </c>
      <c r="BR12" s="41">
        <v>-24.697644812221501</v>
      </c>
      <c r="BS12" s="30" t="s">
        <v>28</v>
      </c>
      <c r="BT12" s="28">
        <v>45957</v>
      </c>
      <c r="BU12" s="27">
        <v>437</v>
      </c>
      <c r="BV12" s="27">
        <v>352.5</v>
      </c>
      <c r="BW12" s="67">
        <v>-19.3363844393592</v>
      </c>
      <c r="BX12" s="129" t="s">
        <v>28</v>
      </c>
      <c r="BY12" s="117">
        <v>45964</v>
      </c>
      <c r="BZ12" s="116">
        <v>358</v>
      </c>
      <c r="CA12" s="116">
        <v>312</v>
      </c>
      <c r="CB12" s="133">
        <v>-12.849162011173201</v>
      </c>
      <c r="CC12" s="141" t="s">
        <v>28</v>
      </c>
      <c r="CD12" s="135">
        <v>45971</v>
      </c>
      <c r="CE12" s="136">
        <v>348.5</v>
      </c>
      <c r="CF12" s="136">
        <v>321.25</v>
      </c>
      <c r="CG12" s="151">
        <v>-7.81922525107605</v>
      </c>
      <c r="CH12" s="141" t="s">
        <v>28</v>
      </c>
      <c r="CI12" s="135">
        <v>45978</v>
      </c>
      <c r="CJ12" s="136">
        <v>364.25</v>
      </c>
      <c r="CK12" s="136">
        <v>320.5</v>
      </c>
      <c r="CL12" s="142">
        <v>-12.010981468771501</v>
      </c>
      <c r="CM12" s="17"/>
      <c r="CP12" s="19"/>
      <c r="CQ12" s="18"/>
      <c r="CR12" s="17"/>
      <c r="CU12" s="19"/>
      <c r="CV12" s="18"/>
      <c r="DA12" s="69" t="s">
        <v>28</v>
      </c>
      <c r="DB12" s="71">
        <f t="shared" si="0"/>
        <v>392.45833333333331</v>
      </c>
      <c r="DC12" s="112">
        <f t="shared" si="1"/>
        <v>334.45833333333331</v>
      </c>
      <c r="DD12" s="109">
        <f t="shared" si="2"/>
        <v>-7.1875995328591097E-2</v>
      </c>
      <c r="DE12" s="127">
        <f t="shared" si="3"/>
        <v>-4.1734147253020999E-2</v>
      </c>
      <c r="DF12" s="64">
        <f t="shared" si="4"/>
        <v>4.519368723098996E-2</v>
      </c>
      <c r="DG12" s="63">
        <f t="shared" si="5"/>
        <v>-2.3346303501945525E-3</v>
      </c>
      <c r="DH12" s="109">
        <f t="shared" si="6"/>
        <v>-6.7221510883482716E-2</v>
      </c>
      <c r="DI12" s="63">
        <f t="shared" si="7"/>
        <v>-9.7183098591549291E-2</v>
      </c>
    </row>
    <row r="13" spans="1:114" x14ac:dyDescent="0.2">
      <c r="A13" t="s">
        <v>29</v>
      </c>
      <c r="B13" s="17">
        <v>45862</v>
      </c>
      <c r="C13">
        <v>248</v>
      </c>
      <c r="D13">
        <v>265</v>
      </c>
      <c r="E13">
        <v>5.7</v>
      </c>
      <c r="F13" t="s">
        <v>29</v>
      </c>
      <c r="G13" s="28">
        <v>45869</v>
      </c>
      <c r="H13">
        <v>235</v>
      </c>
      <c r="I13">
        <v>221</v>
      </c>
      <c r="J13">
        <v>-6</v>
      </c>
      <c r="K13" t="s">
        <v>29</v>
      </c>
      <c r="L13" s="28">
        <v>45874</v>
      </c>
      <c r="M13">
        <v>266</v>
      </c>
      <c r="N13">
        <v>252</v>
      </c>
      <c r="O13">
        <v>-5.5</v>
      </c>
      <c r="P13" s="30"/>
      <c r="Q13" s="28"/>
      <c r="R13" s="27"/>
      <c r="S13" s="27"/>
      <c r="T13" s="67"/>
      <c r="U13" s="35"/>
      <c r="V13" s="32"/>
      <c r="W13" s="26"/>
      <c r="X13" s="26"/>
      <c r="Y13" s="41"/>
      <c r="Z13" s="35"/>
      <c r="AA13" s="32"/>
      <c r="AB13" s="26"/>
      <c r="AC13" s="26"/>
      <c r="AD13" s="40"/>
      <c r="AE13" s="35"/>
      <c r="AF13" s="32"/>
      <c r="AG13" s="26"/>
      <c r="AH13" s="26"/>
      <c r="AI13" s="40"/>
      <c r="AJ13" s="35"/>
      <c r="AK13" s="32"/>
      <c r="AL13" s="26"/>
      <c r="AM13" s="26"/>
      <c r="AN13" s="41"/>
      <c r="AO13" s="35"/>
      <c r="AP13" s="32"/>
      <c r="AQ13" s="26"/>
      <c r="AR13" s="26"/>
      <c r="AS13" s="40"/>
      <c r="AT13" s="35" t="s">
        <v>29</v>
      </c>
      <c r="AU13" s="32">
        <v>45922</v>
      </c>
      <c r="AV13" s="26">
        <v>295.25</v>
      </c>
      <c r="AW13" s="26">
        <v>303.25</v>
      </c>
      <c r="AX13" s="40">
        <v>2.6380873866446799</v>
      </c>
      <c r="AY13" s="35" t="s">
        <v>29</v>
      </c>
      <c r="AZ13" s="32">
        <v>45929</v>
      </c>
      <c r="BA13" s="26">
        <v>268.5</v>
      </c>
      <c r="BB13" s="26">
        <v>243.75</v>
      </c>
      <c r="BC13" s="40">
        <v>-9.2178770949720708</v>
      </c>
      <c r="BD13" s="35" t="s">
        <v>29</v>
      </c>
      <c r="BE13" s="32">
        <v>45936</v>
      </c>
      <c r="BF13" s="26">
        <v>248</v>
      </c>
      <c r="BG13" s="26">
        <v>252</v>
      </c>
      <c r="BH13" s="40">
        <v>1.5873015873015901</v>
      </c>
      <c r="BI13" s="35" t="s">
        <v>29</v>
      </c>
      <c r="BJ13" s="32">
        <v>45943</v>
      </c>
      <c r="BK13" s="26">
        <v>280</v>
      </c>
      <c r="BL13" s="26">
        <v>265.75</v>
      </c>
      <c r="BM13" s="40">
        <v>-5.08928571428571</v>
      </c>
      <c r="BN13" s="35" t="s">
        <v>29</v>
      </c>
      <c r="BO13" s="32">
        <v>45950</v>
      </c>
      <c r="BP13" s="26">
        <v>286.5</v>
      </c>
      <c r="BQ13" s="26">
        <v>298.25</v>
      </c>
      <c r="BR13" s="40">
        <v>3.9396479463537299</v>
      </c>
      <c r="BS13" s="30" t="s">
        <v>29</v>
      </c>
      <c r="BT13" s="28">
        <v>45957</v>
      </c>
      <c r="BU13" s="27">
        <v>289</v>
      </c>
      <c r="BV13" s="27">
        <v>307</v>
      </c>
      <c r="BW13" s="49">
        <v>5.8631921824104198</v>
      </c>
      <c r="BX13" s="129" t="s">
        <v>29</v>
      </c>
      <c r="BY13" s="117">
        <v>45964</v>
      </c>
      <c r="BZ13" s="116">
        <v>319</v>
      </c>
      <c r="CA13" s="116">
        <v>307.5</v>
      </c>
      <c r="CB13" s="133">
        <v>-3.6050156739811898</v>
      </c>
      <c r="CC13" s="141" t="s">
        <v>29</v>
      </c>
      <c r="CD13" s="135">
        <v>45971</v>
      </c>
      <c r="CE13" s="136">
        <v>339</v>
      </c>
      <c r="CF13" s="136">
        <v>311.25</v>
      </c>
      <c r="CG13" s="151">
        <v>-8.1858407079645996</v>
      </c>
      <c r="CH13" s="141" t="s">
        <v>29</v>
      </c>
      <c r="CI13" s="135">
        <v>45978</v>
      </c>
      <c r="CJ13" s="136">
        <v>319</v>
      </c>
      <c r="CK13" s="136">
        <v>311.25</v>
      </c>
      <c r="CL13" s="142">
        <v>-2.4294670846395001</v>
      </c>
      <c r="CM13" s="17"/>
      <c r="CP13" s="19"/>
      <c r="CQ13" s="18"/>
      <c r="CR13" s="17"/>
      <c r="CU13" s="19"/>
      <c r="CV13" s="18"/>
      <c r="DA13" s="69" t="s">
        <v>29</v>
      </c>
      <c r="DB13" s="71">
        <f t="shared" si="0"/>
        <v>282.77083333333331</v>
      </c>
      <c r="DC13" s="112">
        <f t="shared" si="1"/>
        <v>278.16666666666669</v>
      </c>
      <c r="DD13" s="109">
        <f t="shared" si="2"/>
        <v>0.12812200692551395</v>
      </c>
      <c r="DE13" s="127">
        <f t="shared" si="3"/>
        <v>0.11893349310964642</v>
      </c>
      <c r="DF13" s="64">
        <f t="shared" si="4"/>
        <v>-5.8997050147492625E-2</v>
      </c>
      <c r="DG13" s="63">
        <f t="shared" si="5"/>
        <v>0</v>
      </c>
      <c r="DH13" s="109">
        <f t="shared" si="6"/>
        <v>0.28629032258064518</v>
      </c>
      <c r="DI13" s="63">
        <f t="shared" si="7"/>
        <v>0.17452830188679244</v>
      </c>
    </row>
    <row r="14" spans="1:114" x14ac:dyDescent="0.2">
      <c r="A14" s="35" t="s">
        <v>30</v>
      </c>
      <c r="B14" s="32">
        <v>45862</v>
      </c>
      <c r="C14" s="26">
        <v>370.25</v>
      </c>
      <c r="D14" s="26">
        <v>309.25</v>
      </c>
      <c r="E14" s="41">
        <v>-16.475354490209298</v>
      </c>
      <c r="F14" s="30" t="s">
        <v>30</v>
      </c>
      <c r="G14" s="28">
        <v>45869</v>
      </c>
      <c r="H14" s="27">
        <v>381.75</v>
      </c>
      <c r="I14" s="27">
        <v>328</v>
      </c>
      <c r="J14" s="49">
        <v>-14.079895219384399</v>
      </c>
      <c r="K14" s="30" t="s">
        <v>30</v>
      </c>
      <c r="L14" s="28">
        <v>45874</v>
      </c>
      <c r="M14" s="27">
        <v>395</v>
      </c>
      <c r="N14" s="27">
        <v>327.75</v>
      </c>
      <c r="O14" s="67">
        <v>-17.025316455696199</v>
      </c>
      <c r="P14" s="30" t="s">
        <v>30</v>
      </c>
      <c r="Q14" s="28">
        <v>45880</v>
      </c>
      <c r="R14" s="27">
        <v>390.25</v>
      </c>
      <c r="S14" s="27">
        <v>340</v>
      </c>
      <c r="T14" s="49">
        <v>-12.8763613068545</v>
      </c>
      <c r="U14" s="35" t="s">
        <v>30</v>
      </c>
      <c r="V14" s="32">
        <v>45886</v>
      </c>
      <c r="W14" s="26">
        <v>441.5</v>
      </c>
      <c r="X14" s="26">
        <v>359</v>
      </c>
      <c r="Y14" s="41">
        <v>-18.686296715741701</v>
      </c>
      <c r="Z14" s="35" t="s">
        <v>30</v>
      </c>
      <c r="AA14" s="32">
        <v>45894</v>
      </c>
      <c r="AB14" s="26">
        <v>418.25</v>
      </c>
      <c r="AC14" s="26">
        <v>401.75</v>
      </c>
      <c r="AD14" s="40">
        <v>-3.94500896592946</v>
      </c>
      <c r="AE14" s="35" t="s">
        <v>30</v>
      </c>
      <c r="AF14" s="32">
        <v>45901</v>
      </c>
      <c r="AG14" s="26">
        <v>340.75</v>
      </c>
      <c r="AH14" s="26">
        <v>322</v>
      </c>
      <c r="AI14" s="40">
        <v>-5.5025678650036696</v>
      </c>
      <c r="AJ14" s="35" t="s">
        <v>30</v>
      </c>
      <c r="AK14" s="32">
        <v>45908</v>
      </c>
      <c r="AL14" s="26">
        <v>299</v>
      </c>
      <c r="AM14" s="26">
        <v>234.75</v>
      </c>
      <c r="AN14" s="41">
        <v>-21.4882943143812</v>
      </c>
      <c r="AO14" s="35" t="s">
        <v>30</v>
      </c>
      <c r="AP14" s="32">
        <v>45915</v>
      </c>
      <c r="AQ14" s="26">
        <v>428</v>
      </c>
      <c r="AR14" s="26">
        <v>349.25</v>
      </c>
      <c r="AS14" s="41">
        <v>-18.399532710280301</v>
      </c>
      <c r="AT14" s="35" t="s">
        <v>30</v>
      </c>
      <c r="AU14" s="32">
        <v>45922</v>
      </c>
      <c r="AV14" s="26">
        <v>399</v>
      </c>
      <c r="AW14" s="26">
        <v>340</v>
      </c>
      <c r="AX14" s="41">
        <v>-14.7869674185463</v>
      </c>
      <c r="AY14" s="35" t="s">
        <v>30</v>
      </c>
      <c r="AZ14" s="32">
        <v>45929</v>
      </c>
      <c r="BA14" s="26">
        <v>424.75</v>
      </c>
      <c r="BB14" s="26">
        <v>336.75</v>
      </c>
      <c r="BC14" s="41">
        <v>-20.718069452619101</v>
      </c>
      <c r="BD14" s="35" t="s">
        <v>30</v>
      </c>
      <c r="BE14" s="32">
        <v>45936</v>
      </c>
      <c r="BF14" s="26">
        <v>434.75</v>
      </c>
      <c r="BG14" s="26">
        <v>343.25</v>
      </c>
      <c r="BH14" s="41">
        <v>-21.046578493386999</v>
      </c>
      <c r="BI14" s="35" t="s">
        <v>30</v>
      </c>
      <c r="BJ14" s="32">
        <v>45943</v>
      </c>
      <c r="BK14" s="26">
        <v>450.75</v>
      </c>
      <c r="BL14" s="26">
        <v>333.25</v>
      </c>
      <c r="BM14" s="41">
        <v>-26.067665002773101</v>
      </c>
      <c r="BN14" s="35" t="s">
        <v>30</v>
      </c>
      <c r="BO14" s="32">
        <v>45950</v>
      </c>
      <c r="BP14" s="26">
        <v>400</v>
      </c>
      <c r="BQ14" s="26">
        <v>304.25</v>
      </c>
      <c r="BR14" s="40">
        <v>-23.9375</v>
      </c>
      <c r="BS14" s="30" t="s">
        <v>30</v>
      </c>
      <c r="BT14" s="28">
        <v>45957</v>
      </c>
      <c r="BU14" s="27">
        <v>452</v>
      </c>
      <c r="BV14" s="27">
        <v>348</v>
      </c>
      <c r="BW14" s="67">
        <v>-23.008849557522101</v>
      </c>
      <c r="BX14" s="129" t="s">
        <v>30</v>
      </c>
      <c r="BY14" s="117">
        <v>45964</v>
      </c>
      <c r="BZ14" s="116">
        <v>463</v>
      </c>
      <c r="CA14" s="116">
        <v>343.5</v>
      </c>
      <c r="CB14" s="148">
        <v>-25.809935205183599</v>
      </c>
      <c r="CC14" s="141" t="s">
        <v>30</v>
      </c>
      <c r="CD14" s="135">
        <v>45971</v>
      </c>
      <c r="CE14" s="136">
        <v>436</v>
      </c>
      <c r="CF14" s="136">
        <v>355.25</v>
      </c>
      <c r="CG14" s="154">
        <v>-18.5206422018349</v>
      </c>
      <c r="CH14" s="141" t="s">
        <v>30</v>
      </c>
      <c r="CI14" s="135">
        <v>45978</v>
      </c>
      <c r="CJ14" s="136">
        <v>510</v>
      </c>
      <c r="CK14" s="136">
        <v>382.25</v>
      </c>
      <c r="CL14" s="149">
        <v>-25.0490196078431</v>
      </c>
      <c r="CM14" s="17"/>
      <c r="CP14" s="19"/>
      <c r="CQ14" s="18"/>
      <c r="CR14" s="17"/>
      <c r="CU14" s="19"/>
      <c r="CV14" s="18"/>
      <c r="CW14" s="17"/>
      <c r="DA14" s="69" t="s">
        <v>30</v>
      </c>
      <c r="DB14" s="71">
        <f t="shared" si="0"/>
        <v>413.05555555555554</v>
      </c>
      <c r="DC14" s="112">
        <f t="shared" si="1"/>
        <v>336.56944444444446</v>
      </c>
      <c r="DD14" s="109">
        <f t="shared" si="2"/>
        <v>0.23470073974445196</v>
      </c>
      <c r="DE14" s="127">
        <f t="shared" si="3"/>
        <v>0.13572401270994094</v>
      </c>
      <c r="DF14" s="64">
        <f t="shared" si="4"/>
        <v>0.16972477064220184</v>
      </c>
      <c r="DG14" s="63">
        <f t="shared" si="5"/>
        <v>7.6002814919071071E-2</v>
      </c>
      <c r="DH14" s="109">
        <f t="shared" si="6"/>
        <v>0.37744767049291017</v>
      </c>
      <c r="DI14" s="63">
        <f t="shared" si="7"/>
        <v>0.23605497170573969</v>
      </c>
    </row>
    <row r="15" spans="1:114" x14ac:dyDescent="0.2">
      <c r="A15" s="35" t="s">
        <v>31</v>
      </c>
      <c r="B15" s="32">
        <v>45862</v>
      </c>
      <c r="C15" s="26">
        <v>487.25</v>
      </c>
      <c r="D15" s="26">
        <v>439</v>
      </c>
      <c r="E15" s="40">
        <v>-9.9025141097998901</v>
      </c>
      <c r="F15" s="30" t="s">
        <v>31</v>
      </c>
      <c r="G15" s="28">
        <v>45869</v>
      </c>
      <c r="H15" s="27">
        <v>503</v>
      </c>
      <c r="I15" s="27">
        <v>477.75</v>
      </c>
      <c r="J15" s="49">
        <v>-5.0198807157057601</v>
      </c>
      <c r="K15" s="30" t="s">
        <v>31</v>
      </c>
      <c r="L15" s="28">
        <v>45874</v>
      </c>
      <c r="M15" s="27">
        <v>533.75</v>
      </c>
      <c r="N15" s="27">
        <v>481.75</v>
      </c>
      <c r="O15" s="49">
        <v>-9.7423887587821998</v>
      </c>
      <c r="P15" s="30" t="s">
        <v>31</v>
      </c>
      <c r="Q15" s="28">
        <v>45880</v>
      </c>
      <c r="R15" s="27">
        <v>526.5</v>
      </c>
      <c r="S15" s="27">
        <v>481.25</v>
      </c>
      <c r="T15" s="49">
        <v>-8.5944919278252598</v>
      </c>
      <c r="U15" s="35" t="s">
        <v>31</v>
      </c>
      <c r="V15" s="32">
        <v>45886</v>
      </c>
      <c r="W15" s="26">
        <v>576</v>
      </c>
      <c r="X15" s="26">
        <v>495.5</v>
      </c>
      <c r="Y15" s="40">
        <v>-13.9756944444444</v>
      </c>
      <c r="Z15" s="35" t="s">
        <v>31</v>
      </c>
      <c r="AA15" s="32">
        <v>45894</v>
      </c>
      <c r="AB15" s="26">
        <v>548.5</v>
      </c>
      <c r="AC15" s="26">
        <v>491.25</v>
      </c>
      <c r="AD15" s="40">
        <v>-10.437556973564201</v>
      </c>
      <c r="AE15" s="35" t="s">
        <v>31</v>
      </c>
      <c r="AF15" s="32">
        <v>45901</v>
      </c>
      <c r="AG15" s="26">
        <v>511</v>
      </c>
      <c r="AH15" s="26">
        <v>470</v>
      </c>
      <c r="AI15" s="40">
        <v>-8.0234833659491205</v>
      </c>
      <c r="AJ15" s="35" t="s">
        <v>31</v>
      </c>
      <c r="AK15" s="32">
        <v>45908</v>
      </c>
      <c r="AL15" s="26">
        <v>508.75</v>
      </c>
      <c r="AM15" s="26">
        <v>467.75</v>
      </c>
      <c r="AN15" s="40">
        <v>-8.0589680589680608</v>
      </c>
      <c r="AO15" s="35" t="s">
        <v>31</v>
      </c>
      <c r="AP15" s="32">
        <v>45915</v>
      </c>
      <c r="AQ15" s="26">
        <v>547.75</v>
      </c>
      <c r="AR15" s="26">
        <v>481.5</v>
      </c>
      <c r="AS15" s="40">
        <v>-12.0949338201734</v>
      </c>
      <c r="AT15" s="35" t="s">
        <v>31</v>
      </c>
      <c r="AU15" s="32">
        <v>45922</v>
      </c>
      <c r="AV15" s="26">
        <v>460.75</v>
      </c>
      <c r="AW15" s="26">
        <v>418.25</v>
      </c>
      <c r="AX15" s="40">
        <v>-9.2240911557243592</v>
      </c>
      <c r="AY15" s="35" t="s">
        <v>31</v>
      </c>
      <c r="AZ15" s="32">
        <v>45929</v>
      </c>
      <c r="BA15" s="26">
        <v>480.75</v>
      </c>
      <c r="BB15" s="26">
        <v>451</v>
      </c>
      <c r="BC15" s="40">
        <v>-6.1882475299011901</v>
      </c>
      <c r="BD15" s="35" t="s">
        <v>31</v>
      </c>
      <c r="BE15" s="32">
        <v>45936</v>
      </c>
      <c r="BF15" s="26">
        <v>470</v>
      </c>
      <c r="BG15" s="26">
        <v>457.5</v>
      </c>
      <c r="BH15" s="40">
        <v>-2.6595744680851001</v>
      </c>
      <c r="BI15" s="35" t="s">
        <v>31</v>
      </c>
      <c r="BJ15" s="32">
        <v>45943</v>
      </c>
      <c r="BK15" s="26">
        <v>432.75</v>
      </c>
      <c r="BL15" s="26">
        <v>426.75</v>
      </c>
      <c r="BM15" s="40">
        <v>-1.3864818024263399</v>
      </c>
      <c r="BN15" s="35" t="s">
        <v>31</v>
      </c>
      <c r="BO15" s="32">
        <v>45950</v>
      </c>
      <c r="BP15" s="26">
        <v>497.25</v>
      </c>
      <c r="BQ15" s="26">
        <v>454.5</v>
      </c>
      <c r="BR15" s="40">
        <v>-8.5972850678732993</v>
      </c>
      <c r="BS15" s="30" t="s">
        <v>31</v>
      </c>
      <c r="BT15" s="28">
        <v>45957</v>
      </c>
      <c r="BU15" s="27">
        <v>472</v>
      </c>
      <c r="BV15" s="27">
        <v>469.5</v>
      </c>
      <c r="BW15" s="49">
        <v>-0.52966101694915602</v>
      </c>
      <c r="BX15" s="129" t="s">
        <v>31</v>
      </c>
      <c r="BY15" s="117">
        <v>45964</v>
      </c>
      <c r="BZ15" s="116">
        <v>495</v>
      </c>
      <c r="CA15" s="116">
        <v>497.75</v>
      </c>
      <c r="CB15" s="133">
        <v>0.55248618784530301</v>
      </c>
      <c r="CC15" s="141" t="s">
        <v>31</v>
      </c>
      <c r="CD15" s="135">
        <v>45971</v>
      </c>
      <c r="CE15" s="136">
        <v>472.25</v>
      </c>
      <c r="CF15" s="136">
        <v>472.25</v>
      </c>
      <c r="CG15" s="151">
        <v>0</v>
      </c>
      <c r="CH15" s="141" t="s">
        <v>31</v>
      </c>
      <c r="CI15" s="135">
        <v>45978</v>
      </c>
      <c r="CJ15" s="136">
        <v>498</v>
      </c>
      <c r="CK15" s="136">
        <v>478.5</v>
      </c>
      <c r="CL15" s="142">
        <v>-3.9156626506024099</v>
      </c>
      <c r="CM15" s="17"/>
      <c r="CP15" s="19"/>
      <c r="CQ15" s="18"/>
      <c r="CR15" s="17"/>
      <c r="CU15" s="19"/>
      <c r="CV15" s="18"/>
      <c r="CW15" s="17"/>
      <c r="DA15" s="69" t="s">
        <v>31</v>
      </c>
      <c r="DB15" s="71">
        <f t="shared" si="0"/>
        <v>501.18055555555554</v>
      </c>
      <c r="DC15" s="112">
        <f t="shared" si="1"/>
        <v>467.31944444444446</v>
      </c>
      <c r="DD15" s="109">
        <f t="shared" si="2"/>
        <v>-6.3461271996674267E-3</v>
      </c>
      <c r="DE15" s="127">
        <f t="shared" si="3"/>
        <v>2.392486700151571E-2</v>
      </c>
      <c r="DF15" s="64">
        <f t="shared" si="4"/>
        <v>5.4526204340921119E-2</v>
      </c>
      <c r="DG15" s="63">
        <f t="shared" si="5"/>
        <v>1.3234515616728428E-2</v>
      </c>
      <c r="DH15" s="109">
        <f t="shared" si="6"/>
        <v>2.2062596203181118E-2</v>
      </c>
      <c r="DI15" s="63">
        <f t="shared" si="7"/>
        <v>8.9977220956719811E-2</v>
      </c>
    </row>
    <row r="16" spans="1:114" x14ac:dyDescent="0.2">
      <c r="A16" s="30" t="s">
        <v>55</v>
      </c>
      <c r="B16" s="86">
        <v>45869</v>
      </c>
      <c r="C16" s="27">
        <v>544.5</v>
      </c>
      <c r="D16" s="27">
        <v>381</v>
      </c>
      <c r="E16" s="67">
        <v>-30.027548209366302</v>
      </c>
      <c r="F16" s="30" t="s">
        <v>55</v>
      </c>
      <c r="G16" s="28">
        <v>45869</v>
      </c>
      <c r="H16" s="27">
        <v>544.5</v>
      </c>
      <c r="I16" s="27">
        <v>381</v>
      </c>
      <c r="J16" s="67">
        <v>-30.027548209366302</v>
      </c>
      <c r="K16" s="30" t="s">
        <v>55</v>
      </c>
      <c r="L16" s="28">
        <v>45874</v>
      </c>
      <c r="M16" s="27">
        <v>530</v>
      </c>
      <c r="N16" s="27">
        <v>312</v>
      </c>
      <c r="O16" s="67">
        <v>-41.132075471698101</v>
      </c>
      <c r="P16" s="30" t="s">
        <v>55</v>
      </c>
      <c r="Q16" s="28">
        <v>45880</v>
      </c>
      <c r="R16" s="27">
        <v>556.5</v>
      </c>
      <c r="S16" s="27">
        <v>365</v>
      </c>
      <c r="T16" s="67">
        <v>-34.4115004492363</v>
      </c>
      <c r="U16" s="35" t="s">
        <v>55</v>
      </c>
      <c r="V16" s="32">
        <v>45886</v>
      </c>
      <c r="W16" s="26">
        <v>548</v>
      </c>
      <c r="X16" s="26">
        <v>338.5</v>
      </c>
      <c r="Y16" s="41">
        <v>-38.229927007299203</v>
      </c>
      <c r="Z16" s="35" t="s">
        <v>55</v>
      </c>
      <c r="AA16" s="32">
        <v>45894</v>
      </c>
      <c r="AB16" s="26">
        <v>528</v>
      </c>
      <c r="AC16" s="26">
        <v>373.25</v>
      </c>
      <c r="AD16" s="41">
        <v>-29.3087121212121</v>
      </c>
      <c r="AE16" s="35" t="s">
        <v>55</v>
      </c>
      <c r="AF16" s="32">
        <v>45901</v>
      </c>
      <c r="AG16" s="26">
        <v>515.25</v>
      </c>
      <c r="AH16" s="26">
        <v>284</v>
      </c>
      <c r="AI16" s="41">
        <v>-44.8811256671518</v>
      </c>
      <c r="AJ16" s="35"/>
      <c r="AK16" s="26"/>
      <c r="AL16" s="26"/>
      <c r="AM16" s="26"/>
      <c r="AN16" s="40"/>
      <c r="AO16" s="35"/>
      <c r="AP16" s="26"/>
      <c r="AQ16" s="26"/>
      <c r="AR16" s="26"/>
      <c r="AS16" s="40"/>
      <c r="AT16" s="30"/>
      <c r="AU16" s="27"/>
      <c r="AV16" s="27"/>
      <c r="AW16" s="27"/>
      <c r="AX16" s="40"/>
      <c r="AY16" s="35" t="s">
        <v>55</v>
      </c>
      <c r="AZ16" s="32">
        <v>45929</v>
      </c>
      <c r="BA16" s="26">
        <v>526.75</v>
      </c>
      <c r="BB16" s="26">
        <v>295.75</v>
      </c>
      <c r="BC16" s="41">
        <v>-43.8538205980066</v>
      </c>
      <c r="BD16" s="35" t="s">
        <v>55</v>
      </c>
      <c r="BE16" s="32">
        <v>45936</v>
      </c>
      <c r="BF16" s="26">
        <v>538</v>
      </c>
      <c r="BG16" s="26">
        <v>304.25</v>
      </c>
      <c r="BH16" s="41">
        <v>-43.447955390334499</v>
      </c>
      <c r="BI16" s="30"/>
      <c r="BJ16" s="27"/>
      <c r="BK16" s="27"/>
      <c r="BL16" s="27"/>
      <c r="BM16" s="40"/>
      <c r="BN16" s="35" t="s">
        <v>55</v>
      </c>
      <c r="BO16" s="32">
        <v>45950</v>
      </c>
      <c r="BP16" s="26">
        <v>514.25</v>
      </c>
      <c r="BQ16" s="26">
        <v>326</v>
      </c>
      <c r="BR16" s="41">
        <v>-36.606708799222098</v>
      </c>
      <c r="BS16" s="30" t="s">
        <v>55</v>
      </c>
      <c r="BT16" s="28">
        <v>45957</v>
      </c>
      <c r="BU16" s="27">
        <v>501.75</v>
      </c>
      <c r="BV16" s="27">
        <v>299.5</v>
      </c>
      <c r="BW16" s="67">
        <v>-40.308918784255098</v>
      </c>
      <c r="BX16" s="30"/>
      <c r="BY16" s="27"/>
      <c r="BZ16" s="27"/>
      <c r="CA16" s="27"/>
      <c r="CB16" s="49"/>
      <c r="CC16" s="30"/>
      <c r="CD16" s="27"/>
      <c r="CE16" s="27"/>
      <c r="CF16" s="27"/>
      <c r="CG16" s="49"/>
      <c r="CH16" s="30"/>
      <c r="CI16" s="27"/>
      <c r="CJ16" s="27"/>
      <c r="CK16" s="27"/>
      <c r="CL16" s="31"/>
      <c r="CM16" s="17"/>
      <c r="CP16" s="19"/>
      <c r="CQ16" s="18"/>
      <c r="CR16" s="17"/>
      <c r="CU16" s="19"/>
      <c r="CV16" s="18"/>
      <c r="CW16" s="17"/>
      <c r="DA16" s="69" t="s">
        <v>55</v>
      </c>
      <c r="DB16" s="71">
        <f t="shared" si="0"/>
        <v>531.59090909090912</v>
      </c>
      <c r="DC16" s="112">
        <f t="shared" si="1"/>
        <v>332.75</v>
      </c>
      <c r="DD16" s="109"/>
      <c r="DE16" s="127"/>
      <c r="DF16" s="64"/>
      <c r="DG16" s="63"/>
      <c r="DH16" s="109"/>
      <c r="DI16" s="63"/>
    </row>
    <row r="17" spans="1:113" x14ac:dyDescent="0.2">
      <c r="A17" s="35" t="s">
        <v>32</v>
      </c>
      <c r="B17" s="32">
        <v>45862</v>
      </c>
      <c r="C17" s="26">
        <v>372.25</v>
      </c>
      <c r="D17" s="26">
        <v>317.75</v>
      </c>
      <c r="E17" s="40">
        <v>-14.6406984553391</v>
      </c>
      <c r="F17" s="30" t="s">
        <v>32</v>
      </c>
      <c r="G17" s="28">
        <v>45869</v>
      </c>
      <c r="H17" s="27">
        <v>425.5</v>
      </c>
      <c r="I17" s="27">
        <v>385</v>
      </c>
      <c r="J17" s="49">
        <v>-9.5182138660399396</v>
      </c>
      <c r="K17" s="30" t="s">
        <v>32</v>
      </c>
      <c r="L17" s="28">
        <v>45874</v>
      </c>
      <c r="M17" s="27">
        <v>383.75</v>
      </c>
      <c r="N17" s="27">
        <v>382.25</v>
      </c>
      <c r="O17" s="49">
        <v>-0.39087947882736601</v>
      </c>
      <c r="P17" s="30" t="s">
        <v>32</v>
      </c>
      <c r="Q17" s="28">
        <v>45880</v>
      </c>
      <c r="R17" s="27">
        <v>462.75</v>
      </c>
      <c r="S17" s="27">
        <v>368</v>
      </c>
      <c r="T17" s="67">
        <v>-20.475418692598499</v>
      </c>
      <c r="U17" s="35" t="s">
        <v>32</v>
      </c>
      <c r="V17" s="32">
        <v>45886</v>
      </c>
      <c r="W17" s="26">
        <v>441.75</v>
      </c>
      <c r="X17" s="26">
        <v>344.25</v>
      </c>
      <c r="Y17" s="41">
        <v>-22.0713073005093</v>
      </c>
      <c r="Z17" s="35" t="s">
        <v>32</v>
      </c>
      <c r="AA17" s="32">
        <v>45894</v>
      </c>
      <c r="AB17" s="26">
        <v>401.75</v>
      </c>
      <c r="AC17" s="26">
        <v>361.25</v>
      </c>
      <c r="AD17" s="40">
        <v>-10.080896079651501</v>
      </c>
      <c r="AE17" s="35" t="s">
        <v>32</v>
      </c>
      <c r="AF17" s="32">
        <v>45901</v>
      </c>
      <c r="AG17" s="26">
        <v>417</v>
      </c>
      <c r="AH17" s="26">
        <v>357.75</v>
      </c>
      <c r="AI17" s="40">
        <v>-14.2086330935251</v>
      </c>
      <c r="AJ17" s="35" t="s">
        <v>32</v>
      </c>
      <c r="AK17" s="32">
        <v>45908</v>
      </c>
      <c r="AL17" s="26">
        <v>356.25</v>
      </c>
      <c r="AM17" s="26">
        <v>337.25</v>
      </c>
      <c r="AN17" s="40">
        <v>-5.3333333333333304</v>
      </c>
      <c r="AO17" s="35" t="s">
        <v>32</v>
      </c>
      <c r="AP17" s="32">
        <v>45915</v>
      </c>
      <c r="AQ17" s="26">
        <v>350</v>
      </c>
      <c r="AR17" s="26">
        <v>348.5</v>
      </c>
      <c r="AS17" s="40">
        <v>-0.42857142857143299</v>
      </c>
      <c r="AT17" s="35" t="s">
        <v>32</v>
      </c>
      <c r="AU17" s="32">
        <v>45922</v>
      </c>
      <c r="AV17" s="26">
        <v>368.5</v>
      </c>
      <c r="AW17" s="26">
        <v>344.5</v>
      </c>
      <c r="AX17" s="40">
        <v>-6.5128900949796504</v>
      </c>
      <c r="AY17" s="35" t="s">
        <v>32</v>
      </c>
      <c r="AZ17" s="32">
        <v>45929</v>
      </c>
      <c r="BA17" s="26">
        <v>408.25</v>
      </c>
      <c r="BB17" s="26">
        <v>389.25</v>
      </c>
      <c r="BC17" s="40">
        <v>-4.6540110226576896</v>
      </c>
      <c r="BD17" s="35" t="s">
        <v>32</v>
      </c>
      <c r="BE17" s="32">
        <v>45936</v>
      </c>
      <c r="BF17" s="26">
        <v>459.5</v>
      </c>
      <c r="BG17" s="26">
        <v>472.75</v>
      </c>
      <c r="BH17" s="40">
        <v>2.8027498677948102</v>
      </c>
      <c r="BI17" s="35" t="s">
        <v>32</v>
      </c>
      <c r="BJ17" s="32">
        <v>45943</v>
      </c>
      <c r="BK17" s="26">
        <v>443.25</v>
      </c>
      <c r="BL17" s="26">
        <v>397.75</v>
      </c>
      <c r="BM17" s="40">
        <v>-10.265087422447801</v>
      </c>
      <c r="BN17" s="35" t="s">
        <v>32</v>
      </c>
      <c r="BO17" s="32">
        <v>45950</v>
      </c>
      <c r="BP17" s="26">
        <v>417.25</v>
      </c>
      <c r="BQ17" s="26">
        <v>381.25</v>
      </c>
      <c r="BR17" s="40">
        <v>-8.6279209107249795</v>
      </c>
      <c r="BS17" s="30" t="s">
        <v>32</v>
      </c>
      <c r="BT17" s="28">
        <v>45957</v>
      </c>
      <c r="BU17" s="27">
        <v>380.75</v>
      </c>
      <c r="BV17" s="27">
        <v>386.25</v>
      </c>
      <c r="BW17" s="49">
        <v>1.42394822006473</v>
      </c>
      <c r="BX17" s="129" t="s">
        <v>32</v>
      </c>
      <c r="BY17" s="117">
        <v>45964</v>
      </c>
      <c r="BZ17" s="116">
        <v>410</v>
      </c>
      <c r="CA17" s="116">
        <v>417</v>
      </c>
      <c r="CB17" s="133">
        <v>1.67865707434053</v>
      </c>
      <c r="CC17" s="141" t="s">
        <v>32</v>
      </c>
      <c r="CD17" s="135">
        <v>45971</v>
      </c>
      <c r="CE17" s="136">
        <v>400.25</v>
      </c>
      <c r="CF17" s="136">
        <v>381.5</v>
      </c>
      <c r="CG17" s="151">
        <v>-4.6845721424109898</v>
      </c>
      <c r="CH17" s="30"/>
      <c r="CI17" s="27"/>
      <c r="CJ17" s="27"/>
      <c r="CK17" s="27"/>
      <c r="CL17" s="31"/>
      <c r="CM17" s="17"/>
      <c r="CP17" s="19"/>
      <c r="CQ17" s="18"/>
      <c r="CR17" s="17"/>
      <c r="CU17" s="19"/>
      <c r="CV17" s="18"/>
      <c r="DA17" s="69" t="s">
        <v>32</v>
      </c>
      <c r="DB17" s="71">
        <f t="shared" si="0"/>
        <v>405.80882352941177</v>
      </c>
      <c r="DC17" s="112">
        <f t="shared" si="1"/>
        <v>374.83823529411762</v>
      </c>
      <c r="DD17" s="109"/>
      <c r="DE17" s="127"/>
      <c r="DF17" s="64"/>
      <c r="DG17" s="63"/>
      <c r="DH17" s="109"/>
      <c r="DI17" s="63"/>
    </row>
    <row r="18" spans="1:113" x14ac:dyDescent="0.2">
      <c r="A18" s="30" t="s">
        <v>67</v>
      </c>
      <c r="B18" s="86">
        <v>45880</v>
      </c>
      <c r="C18" s="27">
        <v>507.5</v>
      </c>
      <c r="D18" s="27">
        <v>490.5</v>
      </c>
      <c r="E18" s="49">
        <v>-3.3497536945812798</v>
      </c>
      <c r="F18" s="30"/>
      <c r="G18" s="28"/>
      <c r="H18" s="27"/>
      <c r="I18" s="27"/>
      <c r="J18" s="49"/>
      <c r="K18" s="30"/>
      <c r="L18" s="28"/>
      <c r="M18" s="27"/>
      <c r="N18" s="27"/>
      <c r="O18" s="49"/>
      <c r="P18" s="30" t="s">
        <v>67</v>
      </c>
      <c r="Q18" s="28">
        <v>45880</v>
      </c>
      <c r="R18" s="27">
        <v>507.5</v>
      </c>
      <c r="S18" s="27">
        <v>490.5</v>
      </c>
      <c r="T18" s="49">
        <v>-3.3497536945812798</v>
      </c>
      <c r="U18" s="35" t="s">
        <v>67</v>
      </c>
      <c r="V18" s="32">
        <v>45886</v>
      </c>
      <c r="W18" s="26">
        <v>509.75</v>
      </c>
      <c r="X18" s="26">
        <v>465.75</v>
      </c>
      <c r="Y18" s="40">
        <v>-8.6316821971554596</v>
      </c>
      <c r="Z18" s="35"/>
      <c r="AA18" s="26"/>
      <c r="AB18" s="26"/>
      <c r="AC18" s="26"/>
      <c r="AD18" s="40"/>
      <c r="AE18" s="35" t="s">
        <v>67</v>
      </c>
      <c r="AF18" s="32">
        <v>45901</v>
      </c>
      <c r="AG18" s="26">
        <v>512.5</v>
      </c>
      <c r="AH18" s="26">
        <v>495.5</v>
      </c>
      <c r="AI18" s="40">
        <v>-3.3170731707317098</v>
      </c>
      <c r="AJ18" s="35" t="s">
        <v>67</v>
      </c>
      <c r="AK18" s="32">
        <v>45908</v>
      </c>
      <c r="AL18" s="26">
        <v>401.5</v>
      </c>
      <c r="AM18" s="26">
        <v>484.25</v>
      </c>
      <c r="AN18" s="41">
        <v>17.088280846670099</v>
      </c>
      <c r="AO18" s="35" t="s">
        <v>67</v>
      </c>
      <c r="AP18" s="32">
        <v>45915</v>
      </c>
      <c r="AQ18" s="26">
        <v>458.5</v>
      </c>
      <c r="AR18" s="26">
        <v>497.25</v>
      </c>
      <c r="AS18" s="40">
        <v>7.7928607340371903</v>
      </c>
      <c r="AT18" s="35" t="s">
        <v>67</v>
      </c>
      <c r="AU18" s="32">
        <v>45922</v>
      </c>
      <c r="AV18" s="26">
        <v>410.25</v>
      </c>
      <c r="AW18" s="26">
        <v>402.75</v>
      </c>
      <c r="AX18" s="40">
        <v>-1.82815356489944</v>
      </c>
      <c r="AY18" s="35" t="s">
        <v>67</v>
      </c>
      <c r="AZ18" s="32">
        <v>45929</v>
      </c>
      <c r="BA18" s="26">
        <v>391.25</v>
      </c>
      <c r="BB18" s="26">
        <v>449.75</v>
      </c>
      <c r="BC18" s="40">
        <v>13.0072262367982</v>
      </c>
      <c r="BD18" s="35" t="s">
        <v>67</v>
      </c>
      <c r="BE18" s="32">
        <v>45936</v>
      </c>
      <c r="BF18" s="26">
        <v>416.75</v>
      </c>
      <c r="BG18" s="26">
        <v>447</v>
      </c>
      <c r="BH18" s="40">
        <v>6.7673378076062596</v>
      </c>
      <c r="BI18" s="35" t="s">
        <v>67</v>
      </c>
      <c r="BJ18" s="32">
        <v>45943</v>
      </c>
      <c r="BK18" s="26">
        <v>463</v>
      </c>
      <c r="BL18" s="26">
        <v>478.25</v>
      </c>
      <c r="BM18" s="40">
        <v>3.1887088342916798</v>
      </c>
      <c r="BN18" s="35" t="s">
        <v>67</v>
      </c>
      <c r="BO18" s="32">
        <v>45950</v>
      </c>
      <c r="BP18" s="26">
        <v>472.5</v>
      </c>
      <c r="BQ18" s="26">
        <v>452.75</v>
      </c>
      <c r="BR18" s="40">
        <v>-4.1798941798941804</v>
      </c>
      <c r="BS18" s="30"/>
      <c r="BT18" s="27"/>
      <c r="BU18" s="27"/>
      <c r="BV18" s="27"/>
      <c r="BW18" s="49"/>
      <c r="BX18" s="30"/>
      <c r="BY18" s="27"/>
      <c r="BZ18" s="27"/>
      <c r="CA18" s="27"/>
      <c r="CB18" s="49"/>
      <c r="CC18" s="30"/>
      <c r="CD18" s="27"/>
      <c r="CE18" s="27"/>
      <c r="CF18" s="27"/>
      <c r="CG18" s="49"/>
      <c r="CH18" s="30"/>
      <c r="CI18" s="27"/>
      <c r="CJ18" s="27"/>
      <c r="CK18" s="27"/>
      <c r="CL18" s="31"/>
      <c r="CM18" s="17"/>
      <c r="CP18" s="19"/>
      <c r="CQ18" s="18"/>
      <c r="CR18" s="17"/>
      <c r="CU18" s="19"/>
      <c r="CV18" s="18"/>
      <c r="CW18" s="17"/>
      <c r="DA18" s="69" t="s">
        <v>67</v>
      </c>
      <c r="DB18" s="71">
        <f t="shared" si="0"/>
        <v>459.18181818181819</v>
      </c>
      <c r="DC18" s="112">
        <f t="shared" si="1"/>
        <v>468.56818181818181</v>
      </c>
      <c r="DD18" s="109"/>
      <c r="DE18" s="127"/>
      <c r="DF18" s="64"/>
      <c r="DG18" s="63"/>
      <c r="DH18" s="109"/>
      <c r="DI18" s="63"/>
    </row>
    <row r="19" spans="1:113" x14ac:dyDescent="0.2">
      <c r="A19" s="35" t="s">
        <v>33</v>
      </c>
      <c r="B19" s="32">
        <v>45862</v>
      </c>
      <c r="C19" s="26">
        <v>401</v>
      </c>
      <c r="D19" s="26">
        <v>328.75</v>
      </c>
      <c r="E19" s="41">
        <v>-18.017456359102201</v>
      </c>
      <c r="F19" s="30"/>
      <c r="G19" s="28"/>
      <c r="H19" s="27"/>
      <c r="I19" s="27"/>
      <c r="J19" s="49"/>
      <c r="K19" s="30"/>
      <c r="L19" s="27"/>
      <c r="M19" s="27"/>
      <c r="N19" s="27"/>
      <c r="O19" s="49"/>
      <c r="P19" s="30" t="s">
        <v>33</v>
      </c>
      <c r="Q19" s="28">
        <v>45880</v>
      </c>
      <c r="R19" s="27">
        <v>369.25</v>
      </c>
      <c r="S19" s="27">
        <v>277.5</v>
      </c>
      <c r="T19" s="67">
        <v>-24.847664184157001</v>
      </c>
      <c r="U19" s="35"/>
      <c r="V19" s="26"/>
      <c r="W19" s="26"/>
      <c r="X19" s="26"/>
      <c r="Y19" s="40"/>
      <c r="Z19" s="35" t="s">
        <v>33</v>
      </c>
      <c r="AA19" s="32">
        <v>45894</v>
      </c>
      <c r="AB19" s="26">
        <v>361.25</v>
      </c>
      <c r="AC19" s="26">
        <v>304.5</v>
      </c>
      <c r="AD19" s="41">
        <v>-15.709342560553599</v>
      </c>
      <c r="AE19" s="35" t="s">
        <v>33</v>
      </c>
      <c r="AF19" s="32">
        <v>45901</v>
      </c>
      <c r="AG19" s="26">
        <v>369.5</v>
      </c>
      <c r="AH19" s="26">
        <v>293.5</v>
      </c>
      <c r="AI19" s="41">
        <v>-20.5683355886332</v>
      </c>
      <c r="AJ19" s="35" t="s">
        <v>33</v>
      </c>
      <c r="AK19" s="32">
        <v>45908</v>
      </c>
      <c r="AL19" s="26">
        <v>419</v>
      </c>
      <c r="AM19" s="26">
        <v>285.75</v>
      </c>
      <c r="AN19" s="41">
        <v>-31.8019093078758</v>
      </c>
      <c r="AO19" s="35" t="s">
        <v>33</v>
      </c>
      <c r="AP19" s="32">
        <v>45915</v>
      </c>
      <c r="AQ19" s="26">
        <v>405</v>
      </c>
      <c r="AR19" s="26">
        <v>316.75</v>
      </c>
      <c r="AS19" s="41">
        <v>-21.790123456790099</v>
      </c>
      <c r="AT19" s="35" t="s">
        <v>33</v>
      </c>
      <c r="AU19" s="32">
        <v>45922</v>
      </c>
      <c r="AV19" s="26">
        <v>422</v>
      </c>
      <c r="AW19" s="26">
        <v>337.5</v>
      </c>
      <c r="AX19" s="41">
        <v>-20.023696682464401</v>
      </c>
      <c r="AY19" s="30"/>
      <c r="AZ19" s="27"/>
      <c r="BA19" s="27"/>
      <c r="BB19" s="27"/>
      <c r="BC19" s="40"/>
      <c r="BD19" s="30"/>
      <c r="BE19" s="27"/>
      <c r="BF19" s="27"/>
      <c r="BG19" s="27"/>
      <c r="BH19" s="96"/>
      <c r="BI19" s="30"/>
      <c r="BJ19" s="27"/>
      <c r="BK19" s="27"/>
      <c r="BL19" s="27"/>
      <c r="BM19" s="40"/>
      <c r="BN19" s="35"/>
      <c r="BO19" s="26"/>
      <c r="BP19" s="26"/>
      <c r="BQ19" s="26"/>
      <c r="BR19" s="40"/>
      <c r="BS19" s="30"/>
      <c r="BT19" s="27"/>
      <c r="BU19" s="27"/>
      <c r="BV19" s="27"/>
      <c r="BW19" s="49"/>
      <c r="BX19" s="30"/>
      <c r="BY19" s="27"/>
      <c r="BZ19" s="27"/>
      <c r="CA19" s="27"/>
      <c r="CB19" s="49"/>
      <c r="CC19" s="30"/>
      <c r="CD19" s="27"/>
      <c r="CE19" s="27"/>
      <c r="CF19" s="27"/>
      <c r="CG19" s="49"/>
      <c r="CH19" s="30"/>
      <c r="CI19" s="27"/>
      <c r="CJ19" s="27"/>
      <c r="CK19" s="27"/>
      <c r="CL19" s="31"/>
      <c r="CM19" s="17"/>
      <c r="CP19" s="19"/>
      <c r="CQ19" s="18"/>
      <c r="CR19" s="17"/>
      <c r="CU19" s="19"/>
      <c r="CV19" s="18"/>
      <c r="CW19" s="17"/>
      <c r="DA19" s="69" t="s">
        <v>33</v>
      </c>
      <c r="DB19" s="71">
        <f t="shared" si="0"/>
        <v>392.42857142857144</v>
      </c>
      <c r="DC19" s="112">
        <f t="shared" si="1"/>
        <v>306.32142857142856</v>
      </c>
      <c r="DD19" s="109"/>
      <c r="DE19" s="127"/>
      <c r="DF19" s="64"/>
      <c r="DG19" s="63"/>
      <c r="DH19" s="109"/>
      <c r="DI19" s="63"/>
    </row>
    <row r="20" spans="1:113" x14ac:dyDescent="0.2">
      <c r="A20" s="35" t="s">
        <v>78</v>
      </c>
      <c r="B20" s="32">
        <v>45862</v>
      </c>
      <c r="C20" s="26">
        <v>442.75</v>
      </c>
      <c r="D20" s="26">
        <v>340.75</v>
      </c>
      <c r="E20" s="41">
        <v>-23.037831733483898</v>
      </c>
      <c r="F20" s="30" t="s">
        <v>78</v>
      </c>
      <c r="G20" s="28">
        <v>45869</v>
      </c>
      <c r="H20" s="27">
        <v>472.75</v>
      </c>
      <c r="I20" s="27">
        <v>364.75</v>
      </c>
      <c r="J20" s="67">
        <v>-22.845055526176601</v>
      </c>
      <c r="K20" s="30" t="s">
        <v>78</v>
      </c>
      <c r="L20" s="28">
        <v>45874</v>
      </c>
      <c r="M20" s="27">
        <v>455.25</v>
      </c>
      <c r="N20" s="27">
        <v>387.5</v>
      </c>
      <c r="O20" s="67">
        <v>-14.881933003844001</v>
      </c>
      <c r="P20" s="30" t="s">
        <v>78</v>
      </c>
      <c r="Q20" s="28">
        <v>45880</v>
      </c>
      <c r="R20" s="27">
        <v>465.75</v>
      </c>
      <c r="S20" s="27">
        <v>351.75</v>
      </c>
      <c r="T20" s="67">
        <v>-24.476650563606999</v>
      </c>
      <c r="U20" s="35" t="s">
        <v>78</v>
      </c>
      <c r="V20" s="32">
        <v>45886</v>
      </c>
      <c r="W20" s="26">
        <v>473.5</v>
      </c>
      <c r="X20" s="26">
        <v>374</v>
      </c>
      <c r="Y20" s="41">
        <v>-21.013727560717999</v>
      </c>
      <c r="Z20" s="35" t="s">
        <v>78</v>
      </c>
      <c r="AA20" s="32">
        <v>45894</v>
      </c>
      <c r="AB20" s="26">
        <v>446</v>
      </c>
      <c r="AC20" s="26">
        <v>361</v>
      </c>
      <c r="AD20" s="41">
        <v>-19.058295964125499</v>
      </c>
      <c r="AE20" s="35" t="s">
        <v>78</v>
      </c>
      <c r="AF20" s="32">
        <v>45901</v>
      </c>
      <c r="AG20" s="26">
        <v>466</v>
      </c>
      <c r="AH20" s="26">
        <v>379.75</v>
      </c>
      <c r="AI20" s="41">
        <v>-18.508583690987098</v>
      </c>
      <c r="AJ20" s="35" t="s">
        <v>78</v>
      </c>
      <c r="AK20" s="32">
        <v>45908</v>
      </c>
      <c r="AL20" s="26">
        <v>461.5</v>
      </c>
      <c r="AM20" s="26">
        <v>361.75</v>
      </c>
      <c r="AN20" s="41">
        <v>-21.6143011917659</v>
      </c>
      <c r="AO20" s="35"/>
      <c r="AP20" s="26"/>
      <c r="AQ20" s="26"/>
      <c r="AR20" s="26"/>
      <c r="AS20" s="40"/>
      <c r="AT20" s="30"/>
      <c r="AU20" s="27"/>
      <c r="AV20" s="27"/>
      <c r="AW20" s="27"/>
      <c r="AX20" s="40"/>
      <c r="AY20" s="35" t="s">
        <v>78</v>
      </c>
      <c r="AZ20" s="32">
        <v>45929</v>
      </c>
      <c r="BA20" s="26">
        <v>366.25</v>
      </c>
      <c r="BB20" s="26">
        <v>350.25</v>
      </c>
      <c r="BC20" s="40">
        <v>-4.3686006825938497</v>
      </c>
      <c r="BD20" s="35" t="s">
        <v>78</v>
      </c>
      <c r="BE20" s="32">
        <v>45937</v>
      </c>
      <c r="BF20" s="26">
        <v>401.5</v>
      </c>
      <c r="BG20" s="26">
        <v>353.75</v>
      </c>
      <c r="BH20" s="40">
        <v>-11.892901618929001</v>
      </c>
      <c r="BI20" s="35"/>
      <c r="BJ20" s="32"/>
      <c r="BK20" s="27"/>
      <c r="BL20" s="27"/>
      <c r="BM20" s="40"/>
      <c r="BN20" s="35" t="s">
        <v>78</v>
      </c>
      <c r="BO20" s="32">
        <v>45950</v>
      </c>
      <c r="BP20" s="26">
        <v>397</v>
      </c>
      <c r="BQ20" s="26">
        <v>362</v>
      </c>
      <c r="BR20" s="40">
        <v>-8.6999999999999993</v>
      </c>
      <c r="BS20" s="35" t="s">
        <v>78</v>
      </c>
      <c r="BT20" s="28">
        <v>45957</v>
      </c>
      <c r="BU20" s="27">
        <v>436</v>
      </c>
      <c r="BV20" s="27">
        <v>376</v>
      </c>
      <c r="BW20" s="49">
        <v>-13.8</v>
      </c>
      <c r="BX20" s="129" t="s">
        <v>78</v>
      </c>
      <c r="BY20" s="117">
        <v>45964</v>
      </c>
      <c r="BZ20" s="27">
        <v>446</v>
      </c>
      <c r="CA20" s="27">
        <v>411</v>
      </c>
      <c r="CB20" s="49">
        <v>-7.7</v>
      </c>
      <c r="CC20" s="129" t="s">
        <v>78</v>
      </c>
      <c r="CD20" s="135">
        <v>45971</v>
      </c>
      <c r="CE20" s="27">
        <v>464</v>
      </c>
      <c r="CF20" s="27">
        <v>418</v>
      </c>
      <c r="CG20" s="49">
        <v>-10</v>
      </c>
      <c r="CH20" s="129" t="s">
        <v>78</v>
      </c>
      <c r="CI20" s="135">
        <v>45978</v>
      </c>
      <c r="CJ20" s="27">
        <v>497</v>
      </c>
      <c r="CK20" s="27">
        <v>426</v>
      </c>
      <c r="CL20" s="31">
        <v>-14.2</v>
      </c>
      <c r="CM20" s="17"/>
      <c r="CP20" s="19"/>
      <c r="CQ20" s="18"/>
      <c r="CR20" s="17"/>
      <c r="CU20" s="19"/>
      <c r="CV20" s="18"/>
      <c r="CW20" s="17"/>
      <c r="DA20" s="69" t="s">
        <v>78</v>
      </c>
      <c r="DB20" s="71">
        <f t="shared" si="0"/>
        <v>446.08333333333331</v>
      </c>
      <c r="DC20" s="112">
        <f t="shared" si="1"/>
        <v>374.55</v>
      </c>
      <c r="DD20" s="109">
        <f t="shared" si="2"/>
        <v>0.11414160283952929</v>
      </c>
      <c r="DE20" s="127">
        <f t="shared" si="3"/>
        <v>0.1373648378053664</v>
      </c>
      <c r="DF20" s="64">
        <f t="shared" si="4"/>
        <v>7.1120689655172417E-2</v>
      </c>
      <c r="DG20" s="63">
        <f t="shared" si="5"/>
        <v>1.9138755980861243E-2</v>
      </c>
      <c r="DH20" s="109">
        <f t="shared" si="6"/>
        <v>0.1225296442687747</v>
      </c>
      <c r="DI20" s="63">
        <f t="shared" si="7"/>
        <v>0.25018341892883345</v>
      </c>
    </row>
    <row r="21" spans="1:113" x14ac:dyDescent="0.2">
      <c r="A21" s="35" t="s">
        <v>34</v>
      </c>
      <c r="B21" s="32">
        <v>45862</v>
      </c>
      <c r="C21" s="26">
        <v>422</v>
      </c>
      <c r="D21" s="26">
        <v>367.25</v>
      </c>
      <c r="E21" s="40">
        <v>-12.9739336492891</v>
      </c>
      <c r="F21" s="30" t="s">
        <v>34</v>
      </c>
      <c r="G21" s="28">
        <v>45869</v>
      </c>
      <c r="H21" s="27">
        <v>433.75</v>
      </c>
      <c r="I21" s="27">
        <v>357</v>
      </c>
      <c r="J21" s="67">
        <v>-17.6945244956772</v>
      </c>
      <c r="K21" s="30" t="s">
        <v>34</v>
      </c>
      <c r="L21" s="28">
        <v>45874</v>
      </c>
      <c r="M21" s="27">
        <v>481.75</v>
      </c>
      <c r="N21" s="27">
        <v>402.75</v>
      </c>
      <c r="O21" s="67">
        <v>-16.398546964192999</v>
      </c>
      <c r="P21" s="30" t="s">
        <v>34</v>
      </c>
      <c r="Q21" s="28">
        <v>45880</v>
      </c>
      <c r="R21" s="27">
        <v>483.5</v>
      </c>
      <c r="S21" s="27">
        <v>416</v>
      </c>
      <c r="T21" s="49">
        <v>-13.9607032057911</v>
      </c>
      <c r="U21" s="35" t="s">
        <v>34</v>
      </c>
      <c r="V21" s="32">
        <v>45886</v>
      </c>
      <c r="W21" s="26">
        <v>457.75</v>
      </c>
      <c r="X21" s="26">
        <v>396.25</v>
      </c>
      <c r="Y21" s="40">
        <v>-13.435281267067101</v>
      </c>
      <c r="Z21" s="35" t="s">
        <v>34</v>
      </c>
      <c r="AA21" s="32">
        <v>45894</v>
      </c>
      <c r="AB21" s="26">
        <v>460.5</v>
      </c>
      <c r="AC21" s="26">
        <v>437.25</v>
      </c>
      <c r="AD21" s="40">
        <v>-5.0488599348534198</v>
      </c>
      <c r="AE21" s="35" t="s">
        <v>34</v>
      </c>
      <c r="AF21" s="32">
        <v>45901</v>
      </c>
      <c r="AG21" s="26">
        <v>433</v>
      </c>
      <c r="AH21" s="26">
        <v>405.75</v>
      </c>
      <c r="AI21" s="40">
        <v>-6.2933025404157004</v>
      </c>
      <c r="AJ21" s="35" t="s">
        <v>34</v>
      </c>
      <c r="AK21" s="32">
        <v>45908</v>
      </c>
      <c r="AL21" s="26">
        <v>462</v>
      </c>
      <c r="AM21" s="26">
        <v>393</v>
      </c>
      <c r="AN21" s="40">
        <v>-14.935064935064901</v>
      </c>
      <c r="AO21" s="35" t="s">
        <v>34</v>
      </c>
      <c r="AP21" s="32">
        <v>45915</v>
      </c>
      <c r="AQ21" s="26">
        <v>453.75</v>
      </c>
      <c r="AR21" s="26">
        <v>374.75</v>
      </c>
      <c r="AS21" s="41">
        <v>-17.4104683195592</v>
      </c>
      <c r="AT21" s="35" t="s">
        <v>34</v>
      </c>
      <c r="AU21" s="32">
        <v>45922</v>
      </c>
      <c r="AV21" s="26">
        <v>499.5</v>
      </c>
      <c r="AW21" s="26">
        <v>411.75</v>
      </c>
      <c r="AX21" s="41">
        <v>-17.567567567567501</v>
      </c>
      <c r="AY21" s="35" t="s">
        <v>34</v>
      </c>
      <c r="AZ21" s="32">
        <v>45929</v>
      </c>
      <c r="BA21" s="26">
        <v>484</v>
      </c>
      <c r="BB21" s="26">
        <v>429.25</v>
      </c>
      <c r="BC21" s="40">
        <v>-11.311983471074299</v>
      </c>
      <c r="BD21" s="35" t="s">
        <v>34</v>
      </c>
      <c r="BE21" s="32">
        <v>45936</v>
      </c>
      <c r="BF21" s="26">
        <v>535.25</v>
      </c>
      <c r="BG21" s="26">
        <v>434.5</v>
      </c>
      <c r="BH21" s="41">
        <v>-18.8229799159271</v>
      </c>
      <c r="BI21" s="30"/>
      <c r="BJ21" s="27"/>
      <c r="BK21" s="27"/>
      <c r="BL21" s="27"/>
      <c r="BM21" s="40"/>
      <c r="BN21" s="35" t="s">
        <v>34</v>
      </c>
      <c r="BO21" s="32">
        <v>45950</v>
      </c>
      <c r="BP21" s="26">
        <v>495</v>
      </c>
      <c r="BQ21" s="26">
        <v>393.5</v>
      </c>
      <c r="BR21" s="41">
        <v>-20.505050505050502</v>
      </c>
      <c r="BS21" s="30" t="s">
        <v>34</v>
      </c>
      <c r="BT21" s="28">
        <v>45957</v>
      </c>
      <c r="BU21" s="27">
        <v>514</v>
      </c>
      <c r="BV21" s="27">
        <v>466</v>
      </c>
      <c r="BW21" s="49">
        <v>-9.3385214007782107</v>
      </c>
      <c r="BX21" s="129" t="s">
        <v>34</v>
      </c>
      <c r="BY21" s="117">
        <v>45964</v>
      </c>
      <c r="BZ21" s="116">
        <v>487.5</v>
      </c>
      <c r="CA21" s="116">
        <v>444</v>
      </c>
      <c r="CB21" s="133">
        <v>-8.9230769230769198</v>
      </c>
      <c r="CC21" s="141" t="s">
        <v>34</v>
      </c>
      <c r="CD21" s="135">
        <v>45971</v>
      </c>
      <c r="CE21" s="136">
        <v>486</v>
      </c>
      <c r="CF21" s="136">
        <v>392</v>
      </c>
      <c r="CG21" s="154">
        <v>-19.341563786008201</v>
      </c>
      <c r="CH21" s="141" t="s">
        <v>34</v>
      </c>
      <c r="CI21" s="135">
        <v>45978</v>
      </c>
      <c r="CJ21" s="136">
        <v>400.75</v>
      </c>
      <c r="CK21" s="136">
        <v>347</v>
      </c>
      <c r="CL21" s="142">
        <v>-13.412351840299401</v>
      </c>
      <c r="CM21" s="17"/>
      <c r="CP21" s="19"/>
      <c r="CQ21" s="18"/>
      <c r="CR21" s="17"/>
      <c r="CU21" s="19"/>
      <c r="CV21" s="18"/>
      <c r="CW21" s="17"/>
      <c r="DA21" s="69" t="s">
        <v>34</v>
      </c>
      <c r="DB21" s="71">
        <f t="shared" si="0"/>
        <v>470</v>
      </c>
      <c r="DC21" s="112">
        <f t="shared" si="1"/>
        <v>404</v>
      </c>
      <c r="DD21" s="109">
        <f t="shared" si="2"/>
        <v>-0.1473404255319149</v>
      </c>
      <c r="DE21" s="127">
        <f t="shared" si="3"/>
        <v>-0.14108910891089108</v>
      </c>
      <c r="DF21" s="64">
        <f t="shared" si="4"/>
        <v>-0.17541152263374485</v>
      </c>
      <c r="DG21" s="63">
        <f t="shared" si="5"/>
        <v>-0.11479591836734694</v>
      </c>
      <c r="DH21" s="109">
        <f t="shared" si="6"/>
        <v>-5.0355450236966824E-2</v>
      </c>
      <c r="DI21" s="63">
        <f t="shared" si="7"/>
        <v>-5.5139550714771952E-2</v>
      </c>
    </row>
    <row r="22" spans="1:113" x14ac:dyDescent="0.2">
      <c r="A22" s="35" t="s">
        <v>35</v>
      </c>
      <c r="B22" s="32">
        <v>45862</v>
      </c>
      <c r="C22" s="26">
        <v>356.5</v>
      </c>
      <c r="D22" s="26">
        <v>392</v>
      </c>
      <c r="E22" s="40">
        <v>9.0561224489795809</v>
      </c>
      <c r="F22" s="30" t="s">
        <v>35</v>
      </c>
      <c r="G22" s="28">
        <v>45869</v>
      </c>
      <c r="H22" s="27">
        <v>451.75</v>
      </c>
      <c r="I22" s="27">
        <v>462.5</v>
      </c>
      <c r="J22" s="49">
        <v>2.3243243243243201</v>
      </c>
      <c r="K22" s="30" t="s">
        <v>35</v>
      </c>
      <c r="L22" s="28">
        <v>45874</v>
      </c>
      <c r="M22" s="27">
        <v>463</v>
      </c>
      <c r="N22" s="27">
        <v>479.75</v>
      </c>
      <c r="O22" s="49">
        <v>3.4914017717561099</v>
      </c>
      <c r="P22" s="30" t="s">
        <v>35</v>
      </c>
      <c r="Q22" s="28">
        <v>45880</v>
      </c>
      <c r="R22" s="27">
        <v>442</v>
      </c>
      <c r="S22" s="27">
        <v>461.5</v>
      </c>
      <c r="T22" s="82" t="s">
        <v>68</v>
      </c>
      <c r="U22" s="35" t="s">
        <v>35</v>
      </c>
      <c r="V22" s="32">
        <v>45886</v>
      </c>
      <c r="W22" s="26">
        <v>486</v>
      </c>
      <c r="X22" s="26">
        <v>456.25</v>
      </c>
      <c r="Y22" s="40">
        <v>-6.1213991769547302</v>
      </c>
      <c r="Z22" s="35" t="s">
        <v>35</v>
      </c>
      <c r="AA22" s="32">
        <v>45894</v>
      </c>
      <c r="AB22" s="26">
        <v>490.25</v>
      </c>
      <c r="AC22" s="26">
        <v>489.5</v>
      </c>
      <c r="AD22" s="40">
        <v>-0.152983171851095</v>
      </c>
      <c r="AE22" s="35" t="s">
        <v>35</v>
      </c>
      <c r="AF22" s="32">
        <v>45901</v>
      </c>
      <c r="AG22" s="26">
        <v>483.5</v>
      </c>
      <c r="AH22" s="26">
        <v>507.75</v>
      </c>
      <c r="AI22" s="40">
        <v>4.7759724273756703</v>
      </c>
      <c r="AJ22" s="35"/>
      <c r="AK22" s="26"/>
      <c r="AL22" s="26"/>
      <c r="AM22" s="26"/>
      <c r="AN22" s="40"/>
      <c r="AO22" s="35"/>
      <c r="AP22" s="26"/>
      <c r="AQ22" s="26"/>
      <c r="AR22" s="26"/>
      <c r="AS22" s="40"/>
      <c r="AT22" s="30"/>
      <c r="AU22" s="27"/>
      <c r="AV22" s="27"/>
      <c r="AW22" s="27"/>
      <c r="AX22" s="40"/>
      <c r="AY22" s="30"/>
      <c r="AZ22" s="27"/>
      <c r="BA22" s="27"/>
      <c r="BB22" s="27"/>
      <c r="BC22" s="40"/>
      <c r="BD22" s="30"/>
      <c r="BE22" s="27"/>
      <c r="BF22" s="27"/>
      <c r="BG22" s="27"/>
      <c r="BH22" s="96"/>
      <c r="BI22" s="30"/>
      <c r="BJ22" s="27"/>
      <c r="BK22" s="27"/>
      <c r="BL22" s="27"/>
      <c r="BM22" s="40"/>
      <c r="BN22" s="35"/>
      <c r="BO22" s="26"/>
      <c r="BP22" s="26"/>
      <c r="BQ22" s="26"/>
      <c r="BR22" s="40" t="s">
        <v>79</v>
      </c>
      <c r="BS22" s="30"/>
      <c r="BT22" s="27"/>
      <c r="BU22" s="27"/>
      <c r="BV22" s="27"/>
      <c r="BW22" s="49"/>
      <c r="BX22" s="30"/>
      <c r="BY22" s="27"/>
      <c r="BZ22" s="27"/>
      <c r="CA22" s="27"/>
      <c r="CB22" s="49"/>
      <c r="CC22" s="30"/>
      <c r="CD22" s="27"/>
      <c r="CE22" s="27"/>
      <c r="CF22" s="27"/>
      <c r="CG22" s="49"/>
      <c r="CH22" s="30"/>
      <c r="CI22" s="27"/>
      <c r="CJ22" s="27"/>
      <c r="CK22" s="27"/>
      <c r="CL22" s="31"/>
      <c r="CM22" s="17"/>
      <c r="CP22" s="19"/>
      <c r="CQ22" s="18"/>
      <c r="CR22" s="17"/>
      <c r="CU22" s="19"/>
      <c r="CV22" s="18"/>
      <c r="DA22" s="69" t="s">
        <v>35</v>
      </c>
      <c r="DB22" s="71">
        <f t="shared" si="0"/>
        <v>453.28571428571428</v>
      </c>
      <c r="DC22" s="112">
        <f t="shared" si="1"/>
        <v>464.17857142857144</v>
      </c>
      <c r="DD22" s="109"/>
      <c r="DE22" s="127"/>
      <c r="DF22" s="64"/>
      <c r="DG22" s="63"/>
      <c r="DH22" s="109"/>
      <c r="DI22" s="63"/>
    </row>
    <row r="23" spans="1:113" x14ac:dyDescent="0.2">
      <c r="A23" s="35"/>
      <c r="B23" s="32"/>
      <c r="C23" s="26"/>
      <c r="D23" s="26"/>
      <c r="E23" s="40"/>
      <c r="F23" s="30"/>
      <c r="G23" s="28"/>
      <c r="H23" s="27"/>
      <c r="I23" s="27"/>
      <c r="J23" s="49"/>
      <c r="K23" s="30"/>
      <c r="L23" s="28"/>
      <c r="M23" s="27"/>
      <c r="N23" s="27"/>
      <c r="O23" s="49"/>
      <c r="P23" s="30"/>
      <c r="Q23" s="28"/>
      <c r="R23" s="27"/>
      <c r="S23" s="27"/>
      <c r="T23" s="82"/>
      <c r="U23" s="35"/>
      <c r="V23" s="32"/>
      <c r="W23" s="26"/>
      <c r="X23" s="26"/>
      <c r="Y23" s="40"/>
      <c r="Z23" s="35"/>
      <c r="AA23" s="32"/>
      <c r="AB23" s="26"/>
      <c r="AC23" s="26"/>
      <c r="AD23" s="40"/>
      <c r="AE23" s="35"/>
      <c r="AF23" s="32"/>
      <c r="AG23" s="26"/>
      <c r="AH23" s="26"/>
      <c r="AI23" s="40"/>
      <c r="AJ23" s="35"/>
      <c r="AK23" s="26"/>
      <c r="AL23" s="26"/>
      <c r="AM23" s="26"/>
      <c r="AN23" s="40"/>
      <c r="AO23" s="35"/>
      <c r="AP23" s="26"/>
      <c r="AQ23" s="26"/>
      <c r="AR23" s="26"/>
      <c r="AS23" s="40"/>
      <c r="AT23" s="30"/>
      <c r="AU23" s="27"/>
      <c r="AV23" s="27"/>
      <c r="AW23" s="27"/>
      <c r="AX23" s="40"/>
      <c r="AY23" s="30"/>
      <c r="AZ23" s="27"/>
      <c r="BA23" s="27"/>
      <c r="BB23" s="27"/>
      <c r="BC23" s="40"/>
      <c r="BD23" s="35" t="s">
        <v>80</v>
      </c>
      <c r="BE23" s="32">
        <v>45936</v>
      </c>
      <c r="BF23" s="26">
        <v>337.75</v>
      </c>
      <c r="BG23" s="26">
        <v>286</v>
      </c>
      <c r="BH23" s="41">
        <v>-15.321983715766001</v>
      </c>
      <c r="BI23" s="35" t="s">
        <v>80</v>
      </c>
      <c r="BJ23" s="32">
        <v>45943</v>
      </c>
      <c r="BK23" s="26">
        <v>317.25</v>
      </c>
      <c r="BL23" s="26">
        <v>259.75</v>
      </c>
      <c r="BM23" s="41">
        <v>-18.124507486209598</v>
      </c>
      <c r="BN23" s="35" t="s">
        <v>80</v>
      </c>
      <c r="BO23" s="32">
        <v>45950</v>
      </c>
      <c r="BP23" s="26">
        <v>326.75</v>
      </c>
      <c r="BQ23" s="26">
        <v>266.75</v>
      </c>
      <c r="BR23" s="41">
        <v>-18.362662586074901</v>
      </c>
      <c r="BS23" s="30" t="s">
        <v>80</v>
      </c>
      <c r="BT23" s="28">
        <v>45957</v>
      </c>
      <c r="BU23" s="27">
        <v>291.25</v>
      </c>
      <c r="BV23" s="27">
        <v>227.5</v>
      </c>
      <c r="BW23" s="67">
        <v>-21.888412017167301</v>
      </c>
      <c r="BX23" s="129" t="s">
        <v>80</v>
      </c>
      <c r="BY23" s="117">
        <v>45964</v>
      </c>
      <c r="BZ23" s="116">
        <v>320.5</v>
      </c>
      <c r="CA23" s="116">
        <v>224</v>
      </c>
      <c r="CB23" s="148">
        <v>-30.109204368174701</v>
      </c>
      <c r="CC23" s="141" t="s">
        <v>80</v>
      </c>
      <c r="CD23" s="135">
        <v>45971</v>
      </c>
      <c r="CE23" s="136">
        <v>325.5</v>
      </c>
      <c r="CF23" s="136">
        <v>227</v>
      </c>
      <c r="CG23" s="154">
        <v>-30.2611367127496</v>
      </c>
      <c r="CH23" s="141" t="s">
        <v>80</v>
      </c>
      <c r="CI23" s="135">
        <v>45978</v>
      </c>
      <c r="CJ23" s="136">
        <v>362.25</v>
      </c>
      <c r="CK23" s="136">
        <v>235.25</v>
      </c>
      <c r="CL23" s="149">
        <v>-35.058661145617698</v>
      </c>
      <c r="CM23" s="17"/>
      <c r="CP23" s="19"/>
      <c r="CQ23" s="18"/>
      <c r="CR23" s="17"/>
      <c r="CU23" s="19"/>
      <c r="CV23" s="18"/>
      <c r="DA23" s="69" t="s">
        <v>80</v>
      </c>
      <c r="DB23" s="71">
        <f t="shared" si="0"/>
        <v>325.89285714285717</v>
      </c>
      <c r="DC23" s="112">
        <f t="shared" si="1"/>
        <v>246.60714285714286</v>
      </c>
      <c r="DD23" s="109"/>
      <c r="DE23" s="127"/>
      <c r="DF23" s="64"/>
      <c r="DG23" s="63"/>
      <c r="DH23" s="109"/>
      <c r="DI23" s="63"/>
    </row>
    <row r="24" spans="1:113" x14ac:dyDescent="0.2">
      <c r="A24" s="35" t="s">
        <v>38</v>
      </c>
      <c r="B24" s="32">
        <v>45862</v>
      </c>
      <c r="C24" s="26">
        <v>380.25</v>
      </c>
      <c r="D24" s="26">
        <v>353.25</v>
      </c>
      <c r="E24" s="40">
        <v>-7.1005917159763303</v>
      </c>
      <c r="F24" s="30" t="s">
        <v>38</v>
      </c>
      <c r="G24" s="28">
        <v>45869</v>
      </c>
      <c r="H24" s="27">
        <v>394</v>
      </c>
      <c r="I24" s="27">
        <v>380.75</v>
      </c>
      <c r="J24" s="49">
        <v>-3.3629441624365399</v>
      </c>
      <c r="K24" s="30" t="s">
        <v>38</v>
      </c>
      <c r="L24" s="28">
        <v>45874</v>
      </c>
      <c r="M24" s="27">
        <v>422.75</v>
      </c>
      <c r="N24" s="27">
        <v>349.25</v>
      </c>
      <c r="O24" s="67">
        <v>-17.3861620342992</v>
      </c>
      <c r="P24" s="30" t="s">
        <v>38</v>
      </c>
      <c r="Q24" s="28">
        <v>45880</v>
      </c>
      <c r="R24" s="27">
        <v>441.5</v>
      </c>
      <c r="S24" s="27">
        <v>376.75</v>
      </c>
      <c r="T24" s="67">
        <v>-14.665911664779101</v>
      </c>
      <c r="U24" s="35" t="s">
        <v>38</v>
      </c>
      <c r="V24" s="32">
        <v>45886</v>
      </c>
      <c r="W24" s="26">
        <v>433.75</v>
      </c>
      <c r="X24" s="26">
        <v>383.25</v>
      </c>
      <c r="Y24" s="40">
        <v>-11.6426512968299</v>
      </c>
      <c r="Z24" s="35" t="s">
        <v>38</v>
      </c>
      <c r="AA24" s="32">
        <v>45894</v>
      </c>
      <c r="AB24" s="26">
        <v>432.5</v>
      </c>
      <c r="AC24" s="26">
        <v>431.25</v>
      </c>
      <c r="AD24" s="40">
        <v>-0.289017341040465</v>
      </c>
      <c r="AE24" s="35" t="s">
        <v>38</v>
      </c>
      <c r="AF24" s="32">
        <v>45901</v>
      </c>
      <c r="AG24" s="26">
        <v>397</v>
      </c>
      <c r="AH24" s="26">
        <v>399.5</v>
      </c>
      <c r="AI24" s="40">
        <v>0.62578222778473203</v>
      </c>
      <c r="AJ24" s="35" t="s">
        <v>38</v>
      </c>
      <c r="AK24" s="32">
        <v>45908</v>
      </c>
      <c r="AL24" s="26">
        <v>447</v>
      </c>
      <c r="AM24" s="26">
        <v>390.75</v>
      </c>
      <c r="AN24" s="40">
        <v>-12.5838926174496</v>
      </c>
      <c r="AO24" s="35" t="s">
        <v>38</v>
      </c>
      <c r="AP24" s="32">
        <v>45915</v>
      </c>
      <c r="AQ24" s="26">
        <v>419</v>
      </c>
      <c r="AR24" s="26">
        <v>346</v>
      </c>
      <c r="AS24" s="41">
        <v>-17.422434367541701</v>
      </c>
      <c r="AT24" s="30"/>
      <c r="AU24" s="27"/>
      <c r="AV24" s="27"/>
      <c r="AW24" s="27"/>
      <c r="AX24" s="40"/>
      <c r="AY24" s="30"/>
      <c r="AZ24" s="27"/>
      <c r="BA24" s="27"/>
      <c r="BB24" s="27"/>
      <c r="BC24" s="40"/>
      <c r="BD24" s="35" t="s">
        <v>38</v>
      </c>
      <c r="BE24" s="32">
        <v>45936</v>
      </c>
      <c r="BF24" s="26">
        <v>383.25</v>
      </c>
      <c r="BG24" s="26">
        <v>342.75</v>
      </c>
      <c r="BH24" s="40">
        <v>-10.5675146771037</v>
      </c>
      <c r="BI24" s="35" t="s">
        <v>38</v>
      </c>
      <c r="BJ24" s="32">
        <v>45943</v>
      </c>
      <c r="BK24" s="26">
        <v>377.75</v>
      </c>
      <c r="BL24" s="26">
        <v>326</v>
      </c>
      <c r="BM24" s="40">
        <v>-13.699536730641899</v>
      </c>
      <c r="BN24" s="35" t="s">
        <v>38</v>
      </c>
      <c r="BO24" s="32">
        <v>45950</v>
      </c>
      <c r="BP24" s="26">
        <v>454.25</v>
      </c>
      <c r="BQ24" s="26">
        <v>366.25</v>
      </c>
      <c r="BR24" s="41">
        <v>-19.372592184920201</v>
      </c>
      <c r="BS24" s="30" t="s">
        <v>38</v>
      </c>
      <c r="BT24" s="28">
        <v>45957</v>
      </c>
      <c r="BU24" s="27">
        <v>431.25</v>
      </c>
      <c r="BV24" s="27">
        <v>363.25</v>
      </c>
      <c r="BW24" s="67">
        <v>-15.768115942028899</v>
      </c>
      <c r="BX24" s="129" t="s">
        <v>38</v>
      </c>
      <c r="BY24" s="117">
        <v>45964</v>
      </c>
      <c r="BZ24" s="116">
        <v>416</v>
      </c>
      <c r="CA24" s="116">
        <v>370</v>
      </c>
      <c r="CB24" s="133">
        <v>-11.057692307692299</v>
      </c>
      <c r="CC24" s="141" t="s">
        <v>38</v>
      </c>
      <c r="CD24" s="135">
        <v>45971</v>
      </c>
      <c r="CE24" s="136">
        <v>414.25</v>
      </c>
      <c r="CF24" s="136">
        <v>360.75</v>
      </c>
      <c r="CG24" s="151">
        <v>-12.914906457453201</v>
      </c>
      <c r="CH24" s="141" t="s">
        <v>38</v>
      </c>
      <c r="CI24" s="135">
        <v>45978</v>
      </c>
      <c r="CJ24" s="136">
        <v>419.5</v>
      </c>
      <c r="CK24" s="136">
        <v>351.25</v>
      </c>
      <c r="CL24" s="149">
        <v>-16.269368295589999</v>
      </c>
      <c r="CM24" s="17"/>
      <c r="CP24" s="19"/>
      <c r="CQ24" s="18"/>
      <c r="CR24" s="17"/>
      <c r="CU24" s="19"/>
      <c r="CV24" s="18"/>
      <c r="CW24" s="17"/>
      <c r="DA24" s="69" t="s">
        <v>38</v>
      </c>
      <c r="DB24" s="71">
        <f t="shared" si="0"/>
        <v>416.5</v>
      </c>
      <c r="DC24" s="112">
        <f t="shared" si="1"/>
        <v>368.1875</v>
      </c>
      <c r="DD24" s="109">
        <f t="shared" si="2"/>
        <v>7.2028811524609843E-3</v>
      </c>
      <c r="DE24" s="127">
        <f t="shared" si="3"/>
        <v>-4.6002376506535395E-2</v>
      </c>
      <c r="DF24" s="64">
        <f t="shared" si="4"/>
        <v>1.2673506336753168E-2</v>
      </c>
      <c r="DG24" s="63">
        <f t="shared" si="5"/>
        <v>-2.6334026334026334E-2</v>
      </c>
      <c r="DH24" s="109">
        <f t="shared" si="6"/>
        <v>0.10322156476002629</v>
      </c>
      <c r="DI24" s="63">
        <f t="shared" si="7"/>
        <v>-5.661712668082095E-3</v>
      </c>
    </row>
    <row r="25" spans="1:113" x14ac:dyDescent="0.2">
      <c r="A25" s="35" t="s">
        <v>39</v>
      </c>
      <c r="B25" s="32">
        <v>45862</v>
      </c>
      <c r="C25" s="26">
        <v>535</v>
      </c>
      <c r="D25" s="26">
        <v>441.5</v>
      </c>
      <c r="E25" s="41">
        <v>-17.4766355140186</v>
      </c>
      <c r="F25" s="30" t="s">
        <v>39</v>
      </c>
      <c r="G25" s="28">
        <v>45869</v>
      </c>
      <c r="H25" s="27">
        <v>457.75</v>
      </c>
      <c r="I25" s="27">
        <v>350.5</v>
      </c>
      <c r="J25" s="67">
        <v>-23.429819770617101</v>
      </c>
      <c r="K25" s="30" t="s">
        <v>39</v>
      </c>
      <c r="L25" s="28">
        <v>45874</v>
      </c>
      <c r="M25" s="27">
        <v>476.5</v>
      </c>
      <c r="N25" s="27">
        <v>382.25</v>
      </c>
      <c r="O25" s="67">
        <v>-19.7796432318992</v>
      </c>
      <c r="P25" s="30" t="s">
        <v>39</v>
      </c>
      <c r="Q25" s="28">
        <v>45880</v>
      </c>
      <c r="R25" s="27">
        <v>469.5</v>
      </c>
      <c r="S25" s="27">
        <v>370</v>
      </c>
      <c r="T25" s="67">
        <v>-21.192758253461101</v>
      </c>
      <c r="U25" s="35" t="s">
        <v>39</v>
      </c>
      <c r="V25" s="32">
        <v>45886</v>
      </c>
      <c r="W25" s="26">
        <v>418.25</v>
      </c>
      <c r="X25" s="26">
        <v>347.75</v>
      </c>
      <c r="Y25" s="41">
        <v>-16.855947399880399</v>
      </c>
      <c r="Z25" s="35" t="s">
        <v>39</v>
      </c>
      <c r="AA25" s="32">
        <v>45894</v>
      </c>
      <c r="AB25" s="26">
        <v>426.5</v>
      </c>
      <c r="AC25" s="26">
        <v>327</v>
      </c>
      <c r="AD25" s="41">
        <v>-23.329425556858101</v>
      </c>
      <c r="AE25" s="35" t="s">
        <v>39</v>
      </c>
      <c r="AF25" s="32">
        <v>45901</v>
      </c>
      <c r="AG25" s="26">
        <v>440</v>
      </c>
      <c r="AH25" s="26">
        <v>349.75</v>
      </c>
      <c r="AI25" s="41">
        <v>-20.511363636363601</v>
      </c>
      <c r="AJ25" s="35" t="s">
        <v>39</v>
      </c>
      <c r="AK25" s="32">
        <v>45908</v>
      </c>
      <c r="AL25" s="26">
        <v>397.25</v>
      </c>
      <c r="AM25" s="26">
        <v>348</v>
      </c>
      <c r="AN25" s="40">
        <v>-12.397734424166099</v>
      </c>
      <c r="AO25" s="35" t="s">
        <v>39</v>
      </c>
      <c r="AP25" s="32">
        <v>45915</v>
      </c>
      <c r="AQ25" s="26">
        <v>362</v>
      </c>
      <c r="AR25" s="26">
        <v>250.75</v>
      </c>
      <c r="AS25" s="41">
        <v>-30.732044198895</v>
      </c>
      <c r="AT25" s="35" t="s">
        <v>39</v>
      </c>
      <c r="AU25" s="32">
        <v>45922</v>
      </c>
      <c r="AV25" s="26">
        <v>391.25</v>
      </c>
      <c r="AW25" s="26">
        <v>382.5</v>
      </c>
      <c r="AX25" s="40">
        <v>-2.2364217252396101</v>
      </c>
      <c r="AY25" s="35" t="s">
        <v>39</v>
      </c>
      <c r="AZ25" s="32">
        <v>45929</v>
      </c>
      <c r="BA25" s="26">
        <v>434.25</v>
      </c>
      <c r="BB25" s="26">
        <v>403.75</v>
      </c>
      <c r="BC25" s="40">
        <v>-7.0236039147956202</v>
      </c>
      <c r="BD25" s="35" t="s">
        <v>39</v>
      </c>
      <c r="BE25" s="32">
        <v>45936</v>
      </c>
      <c r="BF25" s="26">
        <v>470</v>
      </c>
      <c r="BG25" s="26">
        <v>359.75</v>
      </c>
      <c r="BH25" s="41">
        <v>-23.4574468085106</v>
      </c>
      <c r="BI25" s="35" t="s">
        <v>39</v>
      </c>
      <c r="BJ25" s="32">
        <v>45943</v>
      </c>
      <c r="BK25" s="26">
        <v>417.25</v>
      </c>
      <c r="BL25" s="26">
        <v>370.75</v>
      </c>
      <c r="BM25" s="40">
        <v>-11.1443978430197</v>
      </c>
      <c r="BN25" s="35" t="s">
        <v>39</v>
      </c>
      <c r="BO25" s="32">
        <v>45950</v>
      </c>
      <c r="BP25" s="26">
        <v>408.25</v>
      </c>
      <c r="BQ25" s="26">
        <v>387.25</v>
      </c>
      <c r="BR25" s="40">
        <v>-5.1439069197795497</v>
      </c>
      <c r="BS25" s="30" t="s">
        <v>39</v>
      </c>
      <c r="BT25" s="28">
        <v>45957</v>
      </c>
      <c r="BU25" s="27">
        <v>381.25</v>
      </c>
      <c r="BV25" s="27">
        <v>315.5</v>
      </c>
      <c r="BW25" s="67">
        <v>-17.245901639344201</v>
      </c>
      <c r="BX25" s="129" t="s">
        <v>39</v>
      </c>
      <c r="BY25" s="117">
        <v>45964</v>
      </c>
      <c r="BZ25" s="116">
        <v>442.25</v>
      </c>
      <c r="CA25" s="116">
        <v>375</v>
      </c>
      <c r="CB25" s="148">
        <v>-15.2063312605992</v>
      </c>
      <c r="CC25" s="141" t="s">
        <v>39</v>
      </c>
      <c r="CD25" s="135">
        <v>45971</v>
      </c>
      <c r="CE25" s="136">
        <v>429.25</v>
      </c>
      <c r="CF25" s="136">
        <v>363.25</v>
      </c>
      <c r="CG25" s="154">
        <v>-15.375655212580099</v>
      </c>
      <c r="CH25" s="141" t="s">
        <v>39</v>
      </c>
      <c r="CI25" s="135">
        <v>45978</v>
      </c>
      <c r="CJ25" s="136">
        <v>412.25</v>
      </c>
      <c r="CK25" s="136">
        <v>267</v>
      </c>
      <c r="CL25" s="149">
        <v>-35.2334748332323</v>
      </c>
      <c r="CM25" s="17"/>
      <c r="CP25" s="19"/>
      <c r="CQ25" s="18"/>
      <c r="CR25" s="17"/>
      <c r="CU25" s="19"/>
      <c r="CV25" s="18"/>
      <c r="CW25" s="17"/>
      <c r="DA25" s="69" t="s">
        <v>39</v>
      </c>
      <c r="DB25" s="71">
        <f t="shared" si="0"/>
        <v>431.59722222222223</v>
      </c>
      <c r="DC25" s="112">
        <f t="shared" si="1"/>
        <v>355.125</v>
      </c>
      <c r="DD25" s="109">
        <f t="shared" si="2"/>
        <v>-4.4827031375703957E-2</v>
      </c>
      <c r="DE25" s="127">
        <f t="shared" si="3"/>
        <v>-0.24815205913410771</v>
      </c>
      <c r="DF25" s="64">
        <f t="shared" si="4"/>
        <v>-3.9603960396039604E-2</v>
      </c>
      <c r="DG25" s="63">
        <f t="shared" si="5"/>
        <v>-0.26496902959394358</v>
      </c>
      <c r="DH25" s="109">
        <f t="shared" si="6"/>
        <v>-0.2294392523364486</v>
      </c>
      <c r="DI25" s="63">
        <f t="shared" si="7"/>
        <v>-0.39524348810872029</v>
      </c>
    </row>
    <row r="26" spans="1:113" x14ac:dyDescent="0.2">
      <c r="A26" t="s">
        <v>74</v>
      </c>
      <c r="B26" s="17">
        <v>45876</v>
      </c>
      <c r="C26">
        <v>408.25</v>
      </c>
      <c r="D26">
        <v>399.25</v>
      </c>
      <c r="E26">
        <v>-2.2045315370483798</v>
      </c>
      <c r="F26" s="30"/>
      <c r="G26" s="28"/>
      <c r="H26" s="27"/>
      <c r="I26" s="27"/>
      <c r="J26" s="67"/>
      <c r="K26" s="30"/>
      <c r="L26" s="28"/>
      <c r="M26" s="27"/>
      <c r="N26" s="27"/>
      <c r="O26" s="67"/>
      <c r="P26" s="30"/>
      <c r="Q26" s="28"/>
      <c r="R26" s="27"/>
      <c r="S26" s="27"/>
      <c r="T26" s="67"/>
      <c r="U26" s="35"/>
      <c r="V26" s="32"/>
      <c r="W26" s="26"/>
      <c r="X26" s="26"/>
      <c r="Y26" s="41"/>
      <c r="Z26" s="35"/>
      <c r="AA26" s="32"/>
      <c r="AB26" s="26"/>
      <c r="AC26" s="26"/>
      <c r="AD26" s="41"/>
      <c r="AE26" t="s">
        <v>74</v>
      </c>
      <c r="AF26" s="17">
        <v>45894</v>
      </c>
      <c r="AG26">
        <v>436.25</v>
      </c>
      <c r="AH26">
        <v>420.25</v>
      </c>
      <c r="AI26">
        <v>-3.6676217765042902</v>
      </c>
      <c r="AJ26" t="s">
        <v>74</v>
      </c>
      <c r="AK26" s="17">
        <v>45908</v>
      </c>
      <c r="AL26">
        <v>497</v>
      </c>
      <c r="AM26">
        <v>419.25</v>
      </c>
      <c r="AN26">
        <v>-15.643863179074399</v>
      </c>
      <c r="AO26" t="s">
        <v>74</v>
      </c>
      <c r="AP26" s="17">
        <v>45915</v>
      </c>
      <c r="AQ26">
        <v>441.75</v>
      </c>
      <c r="AR26">
        <v>410.25</v>
      </c>
      <c r="AS26">
        <v>-7.1307300509337797</v>
      </c>
      <c r="AT26" s="35"/>
      <c r="AU26" s="32"/>
      <c r="AV26" s="26"/>
      <c r="AW26" s="26"/>
      <c r="AX26" s="40"/>
      <c r="AY26" t="s">
        <v>74</v>
      </c>
      <c r="AZ26" s="17">
        <v>45929</v>
      </c>
      <c r="BA26">
        <v>441.5</v>
      </c>
      <c r="BB26">
        <v>394.75</v>
      </c>
      <c r="BC26">
        <v>-10.5889014722536</v>
      </c>
      <c r="BD26" t="s">
        <v>74</v>
      </c>
      <c r="BE26" s="17">
        <v>45936</v>
      </c>
      <c r="BF26">
        <v>435.5</v>
      </c>
      <c r="BG26">
        <v>381.25</v>
      </c>
      <c r="BH26">
        <v>-12.4569460390355</v>
      </c>
      <c r="BI26" s="35" t="s">
        <v>74</v>
      </c>
      <c r="BJ26" s="32">
        <v>45943</v>
      </c>
      <c r="BK26" s="26">
        <v>440</v>
      </c>
      <c r="BL26" s="26">
        <v>390.75</v>
      </c>
      <c r="BM26" s="40">
        <v>-11.193181818181801</v>
      </c>
      <c r="BN26" s="35" t="s">
        <v>74</v>
      </c>
      <c r="BO26" s="32">
        <v>45950</v>
      </c>
      <c r="BP26" s="26">
        <v>437.75</v>
      </c>
      <c r="BQ26" s="26">
        <v>385.25</v>
      </c>
      <c r="BR26" s="40">
        <v>-11.9931467732724</v>
      </c>
      <c r="BS26" s="30" t="s">
        <v>74</v>
      </c>
      <c r="BT26" s="28">
        <v>45957</v>
      </c>
      <c r="BU26" s="27">
        <v>479</v>
      </c>
      <c r="BV26" s="27">
        <v>397.25</v>
      </c>
      <c r="BW26" s="67">
        <v>-17.0668058455114</v>
      </c>
      <c r="BX26" s="129" t="s">
        <v>74</v>
      </c>
      <c r="BY26" s="117">
        <v>45964</v>
      </c>
      <c r="BZ26" s="116">
        <v>437.25</v>
      </c>
      <c r="CA26" s="116">
        <v>395.5</v>
      </c>
      <c r="CB26" s="133">
        <v>-9.5483133218982292</v>
      </c>
      <c r="CC26" s="141" t="s">
        <v>74</v>
      </c>
      <c r="CD26" s="135">
        <v>45971</v>
      </c>
      <c r="CE26" s="136">
        <v>461.75</v>
      </c>
      <c r="CF26" s="136">
        <v>376.5</v>
      </c>
      <c r="CG26" s="154">
        <v>-18.4623714131023</v>
      </c>
      <c r="CH26" s="141" t="s">
        <v>74</v>
      </c>
      <c r="CI26" s="135">
        <v>45978</v>
      </c>
      <c r="CJ26" s="136">
        <v>432</v>
      </c>
      <c r="CK26" s="136">
        <v>396.25</v>
      </c>
      <c r="CL26" s="142">
        <v>-8.2754629629629708</v>
      </c>
      <c r="CM26" s="17"/>
      <c r="CP26" s="19"/>
      <c r="CQ26" s="18"/>
      <c r="CR26" s="17"/>
      <c r="CU26" s="19"/>
      <c r="CV26" s="18"/>
      <c r="CW26" s="17"/>
      <c r="DA26" s="69" t="s">
        <v>74</v>
      </c>
      <c r="DB26" s="71">
        <f t="shared" si="0"/>
        <v>445.66666666666669</v>
      </c>
      <c r="DC26" s="112">
        <f t="shared" si="1"/>
        <v>397.20833333333331</v>
      </c>
      <c r="DD26" s="109">
        <f t="shared" si="2"/>
        <v>-3.0665669409124949E-2</v>
      </c>
      <c r="DE26" s="127">
        <f t="shared" si="3"/>
        <v>-2.4126717717402229E-3</v>
      </c>
      <c r="DF26" s="64">
        <f t="shared" si="4"/>
        <v>-6.442880346507851E-2</v>
      </c>
      <c r="DG26" s="63">
        <f t="shared" si="5"/>
        <v>5.2456839309428953E-2</v>
      </c>
      <c r="DH26" s="109">
        <f t="shared" si="6"/>
        <v>5.8175137783221066E-2</v>
      </c>
      <c r="DI26" s="63">
        <f t="shared" si="7"/>
        <v>-7.5140889167188479E-3</v>
      </c>
    </row>
    <row r="27" spans="1:113" x14ac:dyDescent="0.2">
      <c r="A27" s="30" t="s">
        <v>69</v>
      </c>
      <c r="B27" s="86">
        <v>45880</v>
      </c>
      <c r="C27" s="27">
        <v>294.25</v>
      </c>
      <c r="D27" s="27">
        <v>228</v>
      </c>
      <c r="E27" s="67">
        <v>-22.514868309260802</v>
      </c>
      <c r="F27" s="30"/>
      <c r="G27" s="28"/>
      <c r="H27" s="27"/>
      <c r="I27" s="27"/>
      <c r="J27" s="49"/>
      <c r="K27" s="30"/>
      <c r="L27" s="28"/>
      <c r="M27" s="27"/>
      <c r="N27" s="27"/>
      <c r="O27" s="49"/>
      <c r="P27" s="30" t="s">
        <v>69</v>
      </c>
      <c r="Q27" s="28">
        <v>45880</v>
      </c>
      <c r="R27" s="27">
        <v>294.25</v>
      </c>
      <c r="S27" s="27">
        <v>228</v>
      </c>
      <c r="T27" s="67">
        <v>-22.514868309260802</v>
      </c>
      <c r="U27" s="35" t="s">
        <v>69</v>
      </c>
      <c r="V27" s="32">
        <v>45886</v>
      </c>
      <c r="W27" s="26">
        <v>330.25</v>
      </c>
      <c r="X27" s="26">
        <v>216</v>
      </c>
      <c r="Y27" s="41">
        <v>-34.595003785011301</v>
      </c>
      <c r="Z27" s="35" t="s">
        <v>69</v>
      </c>
      <c r="AA27" s="32">
        <v>45894</v>
      </c>
      <c r="AB27" s="26">
        <v>302</v>
      </c>
      <c r="AC27" s="26">
        <v>234.5</v>
      </c>
      <c r="AD27" s="41">
        <v>-22.350993377483402</v>
      </c>
      <c r="AE27" s="35" t="s">
        <v>69</v>
      </c>
      <c r="AF27" s="32">
        <v>45901</v>
      </c>
      <c r="AG27" s="26">
        <v>311.5</v>
      </c>
      <c r="AH27" s="26">
        <v>234.5</v>
      </c>
      <c r="AI27" s="41">
        <v>-24.7191011235955</v>
      </c>
      <c r="AJ27" s="35" t="s">
        <v>69</v>
      </c>
      <c r="AK27" s="32">
        <v>45908</v>
      </c>
      <c r="AL27" s="26">
        <v>321.5</v>
      </c>
      <c r="AM27" s="26">
        <v>234.5</v>
      </c>
      <c r="AN27" s="41">
        <v>-27.0606531881804</v>
      </c>
      <c r="AO27" s="35" t="s">
        <v>69</v>
      </c>
      <c r="AP27" s="32">
        <v>45915</v>
      </c>
      <c r="AQ27" s="26">
        <v>335.25</v>
      </c>
      <c r="AR27" s="26">
        <v>215.75</v>
      </c>
      <c r="AS27" s="41">
        <v>-35.645041014168498</v>
      </c>
      <c r="AT27" s="35" t="s">
        <v>69</v>
      </c>
      <c r="AU27" s="32">
        <v>45922</v>
      </c>
      <c r="AV27" s="26">
        <v>329.25</v>
      </c>
      <c r="AW27" s="26">
        <v>272.5</v>
      </c>
      <c r="AX27" s="41">
        <v>-17.236142748671199</v>
      </c>
      <c r="AY27" s="35" t="s">
        <v>69</v>
      </c>
      <c r="AZ27" s="32">
        <v>45929</v>
      </c>
      <c r="BA27" s="26">
        <v>293.75</v>
      </c>
      <c r="BB27" s="26">
        <v>273.5</v>
      </c>
      <c r="BC27" s="40">
        <v>-6.8936170212765902</v>
      </c>
      <c r="BD27" s="35" t="s">
        <v>69</v>
      </c>
      <c r="BE27" s="32">
        <v>45936</v>
      </c>
      <c r="BF27" s="26">
        <v>330.75</v>
      </c>
      <c r="BG27" s="26">
        <v>290.25</v>
      </c>
      <c r="BH27" s="40">
        <v>-12.2448979591836</v>
      </c>
      <c r="BI27" s="35" t="s">
        <v>69</v>
      </c>
      <c r="BJ27" s="32">
        <v>45943</v>
      </c>
      <c r="BK27" s="26">
        <v>276</v>
      </c>
      <c r="BL27" s="26">
        <v>223.5</v>
      </c>
      <c r="BM27" s="41">
        <v>-19.0217391304347</v>
      </c>
      <c r="BN27" s="35" t="s">
        <v>69</v>
      </c>
      <c r="BO27" s="32">
        <v>45950</v>
      </c>
      <c r="BP27" s="26">
        <v>340.25</v>
      </c>
      <c r="BQ27" s="26">
        <v>270.25</v>
      </c>
      <c r="BR27" s="41">
        <v>-20.573108008817002</v>
      </c>
      <c r="BS27" s="30" t="s">
        <v>69</v>
      </c>
      <c r="BT27" s="28">
        <v>45957</v>
      </c>
      <c r="BU27" s="27">
        <v>340.5</v>
      </c>
      <c r="BV27" s="27">
        <v>290</v>
      </c>
      <c r="BW27" s="67">
        <v>-14.831130690161499</v>
      </c>
      <c r="BX27" s="129" t="s">
        <v>69</v>
      </c>
      <c r="BY27" s="117">
        <v>45964</v>
      </c>
      <c r="BZ27" s="116">
        <v>342.25</v>
      </c>
      <c r="CA27" s="116">
        <v>345.25</v>
      </c>
      <c r="CB27" s="133">
        <v>0.86893555394641497</v>
      </c>
      <c r="CC27" s="141" t="s">
        <v>69</v>
      </c>
      <c r="CD27" s="135">
        <v>45971</v>
      </c>
      <c r="CE27" s="136">
        <v>361.75</v>
      </c>
      <c r="CF27" s="136">
        <v>324.75</v>
      </c>
      <c r="CG27" s="151">
        <v>-10.2280580511403</v>
      </c>
      <c r="CH27" s="141" t="s">
        <v>69</v>
      </c>
      <c r="CI27" s="135">
        <v>45978</v>
      </c>
      <c r="CJ27" s="136">
        <v>374.25</v>
      </c>
      <c r="CK27" s="136">
        <v>305.5</v>
      </c>
      <c r="CL27" s="149">
        <v>-18.3700734802939</v>
      </c>
      <c r="CM27" s="17"/>
      <c r="CP27" s="19"/>
      <c r="CQ27" s="18"/>
      <c r="CR27" s="17"/>
      <c r="CU27" s="19"/>
      <c r="CV27" s="18"/>
      <c r="CW27" s="17"/>
      <c r="DA27" s="69" t="s">
        <v>69</v>
      </c>
      <c r="DB27" s="71">
        <f t="shared" si="0"/>
        <v>323.609375</v>
      </c>
      <c r="DC27" s="112">
        <f t="shared" si="1"/>
        <v>261.671875</v>
      </c>
      <c r="DD27" s="109">
        <f t="shared" si="2"/>
        <v>0.15648689102409347</v>
      </c>
      <c r="DE27" s="127">
        <f t="shared" si="3"/>
        <v>0.16749268525706096</v>
      </c>
      <c r="DF27" s="64">
        <f t="shared" si="4"/>
        <v>3.455425017277125E-2</v>
      </c>
      <c r="DG27" s="63">
        <f t="shared" si="5"/>
        <v>-5.9276366435719784E-2</v>
      </c>
      <c r="DH27" s="109">
        <f t="shared" si="6"/>
        <v>0.27187765505522515</v>
      </c>
      <c r="DI27" s="63">
        <f t="shared" si="7"/>
        <v>0.33991228070175439</v>
      </c>
    </row>
    <row r="28" spans="1:113" x14ac:dyDescent="0.2">
      <c r="A28" s="30" t="s">
        <v>70</v>
      </c>
      <c r="B28" s="86">
        <v>45880</v>
      </c>
      <c r="C28" s="27">
        <v>468.75</v>
      </c>
      <c r="D28" s="27">
        <v>423.5</v>
      </c>
      <c r="E28" s="49">
        <v>-9.6533333333333307</v>
      </c>
      <c r="F28" s="30"/>
      <c r="G28" s="28"/>
      <c r="H28" s="27"/>
      <c r="I28" s="27"/>
      <c r="J28" s="49"/>
      <c r="K28" s="30"/>
      <c r="L28" s="28"/>
      <c r="M28" s="27"/>
      <c r="N28" s="27"/>
      <c r="O28" s="49"/>
      <c r="P28" s="30" t="s">
        <v>70</v>
      </c>
      <c r="Q28" s="28">
        <v>45880</v>
      </c>
      <c r="R28" s="27">
        <v>468.75</v>
      </c>
      <c r="S28" s="27">
        <v>423.5</v>
      </c>
      <c r="T28" s="49">
        <v>-9.6533333333333307</v>
      </c>
      <c r="U28" s="35" t="s">
        <v>70</v>
      </c>
      <c r="V28" s="32">
        <v>45886</v>
      </c>
      <c r="W28" s="26">
        <v>388</v>
      </c>
      <c r="X28" s="26">
        <v>375</v>
      </c>
      <c r="Y28" s="40">
        <v>-3.3505154639175201</v>
      </c>
      <c r="Z28" s="35" t="s">
        <v>70</v>
      </c>
      <c r="AA28" s="32">
        <v>45894</v>
      </c>
      <c r="AB28" s="26">
        <v>307.5</v>
      </c>
      <c r="AC28" s="26">
        <v>348.5</v>
      </c>
      <c r="AD28" s="40">
        <v>11.764705882352899</v>
      </c>
      <c r="AE28" s="35" t="s">
        <v>70</v>
      </c>
      <c r="AF28" s="32">
        <v>45901</v>
      </c>
      <c r="AG28" s="26">
        <v>383.25</v>
      </c>
      <c r="AH28" s="26">
        <v>341.5</v>
      </c>
      <c r="AI28" s="40">
        <v>-10.893672537508101</v>
      </c>
      <c r="AJ28" s="35" t="s">
        <v>70</v>
      </c>
      <c r="AK28" s="32">
        <v>45908</v>
      </c>
      <c r="AL28" s="26">
        <v>371</v>
      </c>
      <c r="AM28" s="26">
        <v>314.75</v>
      </c>
      <c r="AN28" s="41">
        <v>-15.161725067385399</v>
      </c>
      <c r="AO28" s="35" t="s">
        <v>70</v>
      </c>
      <c r="AP28" s="32">
        <v>45915</v>
      </c>
      <c r="AQ28" s="26">
        <v>377.25</v>
      </c>
      <c r="AR28" s="26">
        <v>361</v>
      </c>
      <c r="AS28" s="40">
        <v>-4.3074884029158298</v>
      </c>
      <c r="AT28" s="35" t="s">
        <v>70</v>
      </c>
      <c r="AU28" s="32">
        <v>45922</v>
      </c>
      <c r="AV28" s="26">
        <v>318.25</v>
      </c>
      <c r="AW28" s="26">
        <v>306.25</v>
      </c>
      <c r="AX28" s="40">
        <v>-3.7706205813040001</v>
      </c>
      <c r="AY28" s="35" t="s">
        <v>70</v>
      </c>
      <c r="AZ28" s="32">
        <v>45929</v>
      </c>
      <c r="BA28" s="26">
        <v>411.25</v>
      </c>
      <c r="BB28" s="26">
        <v>350.5</v>
      </c>
      <c r="BC28" s="40">
        <v>-14.7720364741641</v>
      </c>
      <c r="BD28" s="35" t="s">
        <v>70</v>
      </c>
      <c r="BE28" s="32">
        <v>45936</v>
      </c>
      <c r="BF28" s="26">
        <v>400.75</v>
      </c>
      <c r="BG28" s="26">
        <v>338</v>
      </c>
      <c r="BH28" s="41">
        <v>-15.658140985651899</v>
      </c>
      <c r="BI28" s="30"/>
      <c r="BJ28" s="27"/>
      <c r="BK28" s="27"/>
      <c r="BL28" s="27"/>
      <c r="BM28" s="40"/>
      <c r="BN28" s="35" t="s">
        <v>70</v>
      </c>
      <c r="BO28" s="32">
        <v>45950</v>
      </c>
      <c r="BP28" s="26">
        <v>412.75</v>
      </c>
      <c r="BQ28" s="26">
        <v>361.5</v>
      </c>
      <c r="BR28" s="40">
        <v>-12.416717141126499</v>
      </c>
      <c r="BS28" s="30" t="s">
        <v>70</v>
      </c>
      <c r="BT28" s="28">
        <v>45957</v>
      </c>
      <c r="BU28" s="27">
        <v>409.5</v>
      </c>
      <c r="BV28" s="27">
        <v>365</v>
      </c>
      <c r="BW28" s="49">
        <v>-10.8669108669108</v>
      </c>
      <c r="BX28" s="129" t="s">
        <v>70</v>
      </c>
      <c r="BY28" s="117">
        <v>45964</v>
      </c>
      <c r="BZ28" s="116">
        <v>447</v>
      </c>
      <c r="CA28" s="116">
        <v>422.75</v>
      </c>
      <c r="CB28" s="133">
        <v>-5.4250559284116404</v>
      </c>
      <c r="CC28" s="141" t="s">
        <v>70</v>
      </c>
      <c r="CD28" s="135">
        <v>45971</v>
      </c>
      <c r="CE28" s="136">
        <v>450.25</v>
      </c>
      <c r="CF28" s="136">
        <v>410.5</v>
      </c>
      <c r="CG28" s="151">
        <v>-8.8284286507495899</v>
      </c>
      <c r="CH28" s="141" t="s">
        <v>70</v>
      </c>
      <c r="CI28" s="135">
        <v>45978</v>
      </c>
      <c r="CJ28" s="136">
        <v>475</v>
      </c>
      <c r="CK28" s="136">
        <v>408</v>
      </c>
      <c r="CL28" s="142">
        <v>-14.105263157894701</v>
      </c>
      <c r="CP28" s="19"/>
      <c r="CQ28" s="18"/>
      <c r="CU28" s="19"/>
      <c r="CV28" s="18"/>
      <c r="DA28" s="69" t="s">
        <v>70</v>
      </c>
      <c r="DB28" s="71">
        <f t="shared" si="0"/>
        <v>405.95</v>
      </c>
      <c r="DC28" s="112">
        <f t="shared" si="1"/>
        <v>370.01666666666665</v>
      </c>
      <c r="DD28" s="109">
        <f t="shared" si="2"/>
        <v>0.17009483926591948</v>
      </c>
      <c r="DE28" s="127">
        <f t="shared" si="3"/>
        <v>0.10265303364713306</v>
      </c>
      <c r="DF28" s="64">
        <f t="shared" si="4"/>
        <v>5.4969461410327596E-2</v>
      </c>
      <c r="DG28" s="63">
        <f t="shared" si="5"/>
        <v>-6.0901339829476245E-3</v>
      </c>
      <c r="DH28" s="109">
        <f t="shared" si="6"/>
        <v>1.3333333333333334E-2</v>
      </c>
      <c r="DI28" s="63">
        <f t="shared" si="7"/>
        <v>-3.6599763872491142E-2</v>
      </c>
    </row>
    <row r="29" spans="1:113" ht="17" thickBot="1" x14ac:dyDescent="0.25">
      <c r="A29" s="35" t="s">
        <v>41</v>
      </c>
      <c r="B29" s="32">
        <v>45862</v>
      </c>
      <c r="C29" s="26">
        <v>311.25</v>
      </c>
      <c r="D29" s="26">
        <v>304</v>
      </c>
      <c r="E29" s="40">
        <v>-2.3293172690763</v>
      </c>
      <c r="F29" s="30" t="s">
        <v>41</v>
      </c>
      <c r="G29" s="28">
        <v>45869</v>
      </c>
      <c r="H29" s="27">
        <v>381.25</v>
      </c>
      <c r="I29" s="27">
        <v>322.75</v>
      </c>
      <c r="J29" s="67">
        <v>-15.344262295081901</v>
      </c>
      <c r="K29" s="30" t="s">
        <v>41</v>
      </c>
      <c r="L29" s="28">
        <v>45874</v>
      </c>
      <c r="M29" s="27">
        <v>397.25</v>
      </c>
      <c r="N29" s="27">
        <v>350.5</v>
      </c>
      <c r="O29" s="49">
        <v>-11.76840780365</v>
      </c>
      <c r="P29" s="30" t="s">
        <v>41</v>
      </c>
      <c r="Q29" s="28">
        <v>45880</v>
      </c>
      <c r="R29" s="27">
        <v>412.75</v>
      </c>
      <c r="S29" s="27">
        <v>361.5</v>
      </c>
      <c r="T29" s="49">
        <v>-12.416717141126499</v>
      </c>
      <c r="U29" s="35" t="s">
        <v>41</v>
      </c>
      <c r="V29" s="32">
        <v>45886</v>
      </c>
      <c r="W29" s="26">
        <v>420.5</v>
      </c>
      <c r="X29" s="26">
        <v>345.75</v>
      </c>
      <c r="Y29" s="41">
        <v>-17.776456599286501</v>
      </c>
      <c r="Z29" s="35" t="s">
        <v>41</v>
      </c>
      <c r="AA29" s="32">
        <v>45894</v>
      </c>
      <c r="AB29" s="26">
        <v>409</v>
      </c>
      <c r="AC29" s="26">
        <v>356.75</v>
      </c>
      <c r="AD29" s="40">
        <v>-12.7750611246943</v>
      </c>
      <c r="AE29" s="35" t="s">
        <v>41</v>
      </c>
      <c r="AF29" s="32">
        <v>45901</v>
      </c>
      <c r="AG29" s="26">
        <v>390.25</v>
      </c>
      <c r="AH29" s="26">
        <v>356.5</v>
      </c>
      <c r="AI29" s="40">
        <v>-8.6483023702754593</v>
      </c>
      <c r="AJ29" s="35"/>
      <c r="AK29" s="26"/>
      <c r="AL29" s="26"/>
      <c r="AM29" s="26"/>
      <c r="AN29" s="40"/>
      <c r="AO29" s="35"/>
      <c r="AP29" s="26"/>
      <c r="AQ29" s="26"/>
      <c r="AR29" s="26"/>
      <c r="AS29" s="40"/>
      <c r="AT29" s="35" t="s">
        <v>41</v>
      </c>
      <c r="AU29" s="32">
        <v>45922</v>
      </c>
      <c r="AV29" s="26">
        <v>464.25</v>
      </c>
      <c r="AW29" s="26">
        <v>381.75</v>
      </c>
      <c r="AX29" s="41">
        <v>-17.770597738287499</v>
      </c>
      <c r="AY29" s="30"/>
      <c r="AZ29" s="27"/>
      <c r="BA29" s="27"/>
      <c r="BB29" s="27"/>
      <c r="BC29" s="40"/>
      <c r="BD29" s="35" t="s">
        <v>41</v>
      </c>
      <c r="BE29" s="32">
        <v>45936</v>
      </c>
      <c r="BF29" s="26">
        <v>421.25</v>
      </c>
      <c r="BG29" s="26">
        <v>337.75</v>
      </c>
      <c r="BH29" s="41">
        <v>-19.821958456973299</v>
      </c>
      <c r="BI29" s="35" t="s">
        <v>41</v>
      </c>
      <c r="BJ29" s="32">
        <v>45943</v>
      </c>
      <c r="BK29" s="26">
        <v>398.75</v>
      </c>
      <c r="BL29" s="26">
        <v>341</v>
      </c>
      <c r="BM29" s="40">
        <v>-14.4827586206896</v>
      </c>
      <c r="BN29" s="35" t="s">
        <v>41</v>
      </c>
      <c r="BO29" s="32">
        <v>45950</v>
      </c>
      <c r="BP29" s="26">
        <v>417.25</v>
      </c>
      <c r="BQ29" s="26">
        <v>355.5</v>
      </c>
      <c r="BR29" s="41">
        <v>-14.7992810065907</v>
      </c>
      <c r="BS29" s="30" t="s">
        <v>41</v>
      </c>
      <c r="BT29" s="28">
        <v>45957</v>
      </c>
      <c r="BU29" s="27">
        <v>360.75</v>
      </c>
      <c r="BV29" s="27">
        <v>321</v>
      </c>
      <c r="BW29" s="49">
        <v>-11.018711018711</v>
      </c>
      <c r="BX29" s="30"/>
      <c r="BY29" s="27"/>
      <c r="BZ29" s="27"/>
      <c r="CA29" s="27"/>
      <c r="CB29" s="49"/>
      <c r="CC29" s="141" t="s">
        <v>41</v>
      </c>
      <c r="CD29" s="135">
        <v>45971</v>
      </c>
      <c r="CE29" s="136">
        <v>365.75</v>
      </c>
      <c r="CF29" s="136">
        <v>266.75</v>
      </c>
      <c r="CG29" s="154">
        <v>-27.067669172932298</v>
      </c>
      <c r="CH29" s="141" t="s">
        <v>41</v>
      </c>
      <c r="CI29" s="135">
        <v>45978</v>
      </c>
      <c r="CJ29" s="136">
        <v>393.75</v>
      </c>
      <c r="CK29" s="136">
        <v>306.75</v>
      </c>
      <c r="CL29" s="149">
        <v>-22.095238095238098</v>
      </c>
      <c r="CM29" s="21"/>
      <c r="CN29" s="23"/>
      <c r="CO29" s="23"/>
      <c r="CP29" s="24"/>
      <c r="CQ29" s="20"/>
      <c r="CR29" s="21"/>
      <c r="CS29" s="23"/>
      <c r="CT29" s="23"/>
      <c r="CU29" s="24"/>
      <c r="CV29" s="20"/>
      <c r="CW29" s="21"/>
      <c r="CX29" s="23"/>
      <c r="CY29" s="23"/>
      <c r="CZ29" s="21"/>
      <c r="DA29" s="69" t="s">
        <v>41</v>
      </c>
      <c r="DB29" s="71">
        <f t="shared" si="0"/>
        <v>396</v>
      </c>
      <c r="DC29" s="112">
        <f t="shared" si="1"/>
        <v>336.30357142857144</v>
      </c>
      <c r="DD29" s="109">
        <f t="shared" si="2"/>
        <v>-5.681818181818182E-3</v>
      </c>
      <c r="DE29" s="127">
        <f t="shared" si="3"/>
        <v>-8.7877661551531927E-2</v>
      </c>
      <c r="DF29" s="64">
        <f t="shared" si="4"/>
        <v>7.6555023923444973E-2</v>
      </c>
      <c r="DG29" s="63">
        <f t="shared" si="5"/>
        <v>0.14995313964386128</v>
      </c>
      <c r="DH29" s="109">
        <f t="shared" si="6"/>
        <v>0.26506024096385544</v>
      </c>
      <c r="DI29" s="63">
        <f t="shared" si="7"/>
        <v>9.0460526315789477E-3</v>
      </c>
    </row>
    <row r="30" spans="1:113" x14ac:dyDescent="0.2">
      <c r="A30" s="35" t="s">
        <v>42</v>
      </c>
      <c r="B30" s="32">
        <v>45862</v>
      </c>
      <c r="C30" s="26">
        <v>305.25</v>
      </c>
      <c r="D30" s="26">
        <v>267.75</v>
      </c>
      <c r="E30" s="40">
        <v>-12.285012285012201</v>
      </c>
      <c r="F30" s="30" t="s">
        <v>42</v>
      </c>
      <c r="G30" s="28">
        <v>45869</v>
      </c>
      <c r="H30" s="27">
        <v>330.5</v>
      </c>
      <c r="I30" s="27">
        <v>281</v>
      </c>
      <c r="J30" s="67">
        <v>-14.9773071104387</v>
      </c>
      <c r="K30" s="30" t="s">
        <v>42</v>
      </c>
      <c r="L30" s="28">
        <v>45874</v>
      </c>
      <c r="M30" s="27">
        <v>372.25</v>
      </c>
      <c r="N30" s="27">
        <v>317.75</v>
      </c>
      <c r="O30" s="67">
        <v>-14.6406984553391</v>
      </c>
      <c r="P30" s="30" t="s">
        <v>42</v>
      </c>
      <c r="Q30" s="28">
        <v>45880</v>
      </c>
      <c r="R30" s="27">
        <v>374.25</v>
      </c>
      <c r="S30" s="27">
        <v>299</v>
      </c>
      <c r="T30" s="67">
        <v>-20.106880427521698</v>
      </c>
      <c r="U30" s="35" t="s">
        <v>42</v>
      </c>
      <c r="V30" s="32">
        <v>45886</v>
      </c>
      <c r="W30" s="26">
        <v>408</v>
      </c>
      <c r="X30" s="26">
        <v>357.5</v>
      </c>
      <c r="Y30" s="40">
        <v>-12.3774509803921</v>
      </c>
      <c r="Z30" s="35" t="s">
        <v>42</v>
      </c>
      <c r="AA30" s="32">
        <v>45894</v>
      </c>
      <c r="AB30" s="26">
        <v>345</v>
      </c>
      <c r="AC30" s="26">
        <v>307.5</v>
      </c>
      <c r="AD30" s="40">
        <v>-10.869565217391299</v>
      </c>
      <c r="AE30" s="35" t="s">
        <v>42</v>
      </c>
      <c r="AF30" s="32">
        <v>45901</v>
      </c>
      <c r="AG30" s="26">
        <v>332.75</v>
      </c>
      <c r="AH30" s="26">
        <v>311.75</v>
      </c>
      <c r="AI30" s="40">
        <v>-6.3110443275732502</v>
      </c>
      <c r="AJ30" s="35" t="s">
        <v>42</v>
      </c>
      <c r="AK30" s="32">
        <v>45908</v>
      </c>
      <c r="AL30" s="26">
        <v>416.5</v>
      </c>
      <c r="AM30" s="26">
        <v>349.75</v>
      </c>
      <c r="AN30" s="41">
        <v>-16.0264105642256</v>
      </c>
      <c r="AO30" s="35"/>
      <c r="AP30" s="26"/>
      <c r="AQ30" s="26"/>
      <c r="AR30" s="26"/>
      <c r="AS30" s="40"/>
      <c r="AT30" s="30"/>
      <c r="AU30" s="27"/>
      <c r="AV30" s="27"/>
      <c r="AW30" s="27"/>
      <c r="AX30" s="40"/>
      <c r="AY30" s="30"/>
      <c r="AZ30" s="27"/>
      <c r="BA30" s="27"/>
      <c r="BB30" s="27"/>
      <c r="BC30" s="40"/>
      <c r="BD30" s="35"/>
      <c r="BE30" s="32"/>
      <c r="BF30" s="26"/>
      <c r="BG30" s="26"/>
      <c r="BH30" s="41"/>
      <c r="BI30" s="30"/>
      <c r="BJ30" s="27"/>
      <c r="BK30" s="27"/>
      <c r="BL30" s="27"/>
      <c r="BM30" s="40"/>
      <c r="BN30" s="35" t="s">
        <v>42</v>
      </c>
      <c r="BO30" s="32">
        <v>45950</v>
      </c>
      <c r="BP30" s="26">
        <v>374</v>
      </c>
      <c r="BQ30" s="26">
        <v>278.25</v>
      </c>
      <c r="BR30" s="41">
        <v>-25.601604278074799</v>
      </c>
      <c r="BS30" s="30" t="s">
        <v>42</v>
      </c>
      <c r="BT30" s="28">
        <v>45957</v>
      </c>
      <c r="BU30" s="27">
        <v>276</v>
      </c>
      <c r="BV30" s="27">
        <v>312</v>
      </c>
      <c r="BW30" s="49">
        <v>11.538461538461499</v>
      </c>
      <c r="BX30" s="129" t="s">
        <v>42</v>
      </c>
      <c r="BY30" s="117">
        <v>45964</v>
      </c>
      <c r="BZ30" s="116">
        <v>429.5</v>
      </c>
      <c r="CA30" s="116">
        <v>383.25</v>
      </c>
      <c r="CB30" s="133">
        <v>-10.7683352735739</v>
      </c>
      <c r="CC30" s="141" t="s">
        <v>42</v>
      </c>
      <c r="CD30" s="135">
        <v>45971</v>
      </c>
      <c r="CE30" s="136">
        <v>410.75</v>
      </c>
      <c r="CF30" s="136">
        <v>335.25</v>
      </c>
      <c r="CG30" s="154">
        <v>-18.381010346926399</v>
      </c>
      <c r="CH30" s="141" t="s">
        <v>42</v>
      </c>
      <c r="CI30" s="135">
        <v>45978</v>
      </c>
      <c r="CJ30" s="136">
        <v>428</v>
      </c>
      <c r="CK30" s="136">
        <v>383.75</v>
      </c>
      <c r="CL30" s="142">
        <v>-10.338785046729001</v>
      </c>
      <c r="DA30" s="69" t="s">
        <v>42</v>
      </c>
      <c r="DB30" s="71">
        <f t="shared" si="0"/>
        <v>369.44230769230768</v>
      </c>
      <c r="DC30" s="112">
        <f t="shared" si="1"/>
        <v>321.88461538461536</v>
      </c>
      <c r="DD30" s="109">
        <f t="shared" si="2"/>
        <v>0.15850294102337206</v>
      </c>
      <c r="DE30" s="127">
        <f t="shared" si="3"/>
        <v>0.19219739514876338</v>
      </c>
      <c r="DF30" s="64">
        <f t="shared" si="4"/>
        <v>4.1996348143639686E-2</v>
      </c>
      <c r="DG30" s="63">
        <f t="shared" si="5"/>
        <v>0.14466815809097688</v>
      </c>
      <c r="DH30" s="109">
        <f t="shared" si="6"/>
        <v>0.40212940212940212</v>
      </c>
      <c r="DI30" s="63">
        <f t="shared" si="7"/>
        <v>0.43323996265172737</v>
      </c>
    </row>
    <row r="31" spans="1:113" x14ac:dyDescent="0.2">
      <c r="A31" s="35" t="s">
        <v>43</v>
      </c>
      <c r="B31" s="32">
        <v>45862</v>
      </c>
      <c r="C31" s="26">
        <v>318.25</v>
      </c>
      <c r="D31" s="26">
        <v>337</v>
      </c>
      <c r="E31" s="40">
        <v>5.5637982195845703</v>
      </c>
      <c r="F31" s="30" t="s">
        <v>43</v>
      </c>
      <c r="G31" s="28">
        <v>45869</v>
      </c>
      <c r="H31" s="27">
        <v>340</v>
      </c>
      <c r="I31" s="27">
        <v>312</v>
      </c>
      <c r="J31" s="49">
        <v>-8.2352941176470598</v>
      </c>
      <c r="K31" s="30" t="s">
        <v>43</v>
      </c>
      <c r="L31" s="28">
        <v>45874</v>
      </c>
      <c r="M31" s="27">
        <v>361.75</v>
      </c>
      <c r="N31" s="27">
        <v>322.25</v>
      </c>
      <c r="O31" s="49">
        <v>-10.9191430545957</v>
      </c>
      <c r="P31" s="30" t="s">
        <v>43</v>
      </c>
      <c r="Q31" s="28">
        <v>45880</v>
      </c>
      <c r="R31" s="27">
        <v>382.5</v>
      </c>
      <c r="S31" s="27">
        <v>360.5</v>
      </c>
      <c r="T31" s="49">
        <v>-5.7516339869281001</v>
      </c>
      <c r="U31" s="35" t="s">
        <v>43</v>
      </c>
      <c r="V31" s="32">
        <v>45886</v>
      </c>
      <c r="W31" s="26">
        <v>440.75</v>
      </c>
      <c r="X31" s="26">
        <v>337.5</v>
      </c>
      <c r="Y31" s="41">
        <v>-23.4259784458309</v>
      </c>
      <c r="Z31" s="35" t="s">
        <v>43</v>
      </c>
      <c r="AA31" s="32">
        <v>45894</v>
      </c>
      <c r="AB31" s="26">
        <v>391.25</v>
      </c>
      <c r="AC31" s="26">
        <v>344.75</v>
      </c>
      <c r="AD31" s="40">
        <v>-11.884984025559101</v>
      </c>
      <c r="AE31" s="35" t="s">
        <v>43</v>
      </c>
      <c r="AF31" s="32">
        <v>45901</v>
      </c>
      <c r="AG31" s="26">
        <v>362.75</v>
      </c>
      <c r="AH31" s="26">
        <v>353.25</v>
      </c>
      <c r="AI31" s="40">
        <v>-2.6188835286009602</v>
      </c>
      <c r="AJ31" s="35" t="s">
        <v>43</v>
      </c>
      <c r="AK31" s="32">
        <v>45908</v>
      </c>
      <c r="AL31" s="26">
        <v>361.5</v>
      </c>
      <c r="AM31" s="26">
        <v>339.25</v>
      </c>
      <c r="AN31" s="40">
        <v>-6.15491009681881</v>
      </c>
      <c r="AO31" s="35" t="s">
        <v>43</v>
      </c>
      <c r="AP31" s="32">
        <v>45915</v>
      </c>
      <c r="AQ31" s="26">
        <v>337.75</v>
      </c>
      <c r="AR31" s="26">
        <v>307.75</v>
      </c>
      <c r="AS31" s="40">
        <v>-8.8823094004441092</v>
      </c>
      <c r="AT31" s="35" t="s">
        <v>43</v>
      </c>
      <c r="AU31" s="32">
        <v>45922</v>
      </c>
      <c r="AV31" s="26">
        <v>328.5</v>
      </c>
      <c r="AW31" s="26">
        <v>325.75</v>
      </c>
      <c r="AX31" s="40">
        <v>-0.83713850837138204</v>
      </c>
      <c r="AY31" s="35" t="s">
        <v>43</v>
      </c>
      <c r="AZ31" s="32">
        <v>45929</v>
      </c>
      <c r="BA31" s="26">
        <v>337.75</v>
      </c>
      <c r="BB31" s="26">
        <v>339</v>
      </c>
      <c r="BC31" s="40">
        <v>0.368731563421831</v>
      </c>
      <c r="BD31" s="35" t="s">
        <v>43</v>
      </c>
      <c r="BE31" s="32">
        <v>45936</v>
      </c>
      <c r="BF31" s="26">
        <v>345.75</v>
      </c>
      <c r="BG31" s="26">
        <v>318.75</v>
      </c>
      <c r="BH31" s="40">
        <v>-7.8091106290672396</v>
      </c>
      <c r="BI31" s="35" t="s">
        <v>43</v>
      </c>
      <c r="BJ31" s="32">
        <v>45943</v>
      </c>
      <c r="BK31" s="26">
        <v>365.25</v>
      </c>
      <c r="BL31" s="26">
        <v>325.25</v>
      </c>
      <c r="BM31" s="40">
        <v>-10.951403148528399</v>
      </c>
      <c r="BN31" s="35" t="s">
        <v>43</v>
      </c>
      <c r="BO31" s="32">
        <v>45950</v>
      </c>
      <c r="BP31" s="26">
        <v>286</v>
      </c>
      <c r="BQ31" s="26">
        <v>285.5</v>
      </c>
      <c r="BR31" s="40">
        <v>-0.17482517482517701</v>
      </c>
      <c r="BS31" s="30" t="s">
        <v>43</v>
      </c>
      <c r="BT31" s="28">
        <v>45957</v>
      </c>
      <c r="BU31" s="27">
        <v>309.25</v>
      </c>
      <c r="BV31" s="27">
        <v>274</v>
      </c>
      <c r="BW31" s="49">
        <v>-11.398544866612699</v>
      </c>
      <c r="BX31" s="129" t="s">
        <v>43</v>
      </c>
      <c r="BY31" s="117">
        <v>45964</v>
      </c>
      <c r="BZ31" s="116">
        <v>265.75</v>
      </c>
      <c r="CA31" s="116">
        <v>333.5</v>
      </c>
      <c r="CB31" s="148">
        <v>20.3148425787106</v>
      </c>
      <c r="CC31" s="141" t="s">
        <v>43</v>
      </c>
      <c r="CD31" s="135">
        <v>45971</v>
      </c>
      <c r="CE31" s="136">
        <v>341</v>
      </c>
      <c r="CF31" s="136">
        <v>312.5</v>
      </c>
      <c r="CG31" s="151">
        <v>-8.3577712609970707</v>
      </c>
      <c r="CH31" s="141" t="s">
        <v>43</v>
      </c>
      <c r="CI31" s="135">
        <v>45978</v>
      </c>
      <c r="CJ31" s="136">
        <v>326</v>
      </c>
      <c r="CK31" s="136">
        <v>268.5</v>
      </c>
      <c r="CL31" s="149">
        <v>-17.638036809816001</v>
      </c>
      <c r="DA31" s="69" t="s">
        <v>43</v>
      </c>
      <c r="DB31" s="71">
        <f t="shared" si="0"/>
        <v>344.54166666666669</v>
      </c>
      <c r="DC31" s="112">
        <f t="shared" si="1"/>
        <v>322.05555555555554</v>
      </c>
      <c r="DD31" s="109">
        <f t="shared" si="2"/>
        <v>-5.3815455315032103E-2</v>
      </c>
      <c r="DE31" s="127">
        <f t="shared" si="3"/>
        <v>-0.16629291012592717</v>
      </c>
      <c r="DF31" s="64">
        <f t="shared" si="4"/>
        <v>-4.398826979472141E-2</v>
      </c>
      <c r="DG31" s="63">
        <f t="shared" si="5"/>
        <v>-0.14080000000000001</v>
      </c>
      <c r="DH31" s="109">
        <f t="shared" si="6"/>
        <v>2.4351924587588374E-2</v>
      </c>
      <c r="DI31" s="63">
        <f t="shared" si="7"/>
        <v>-0.20326409495548961</v>
      </c>
    </row>
    <row r="32" spans="1:113" x14ac:dyDescent="0.2">
      <c r="A32" s="35" t="s">
        <v>75</v>
      </c>
      <c r="B32" s="107">
        <v>45886</v>
      </c>
      <c r="C32" s="26">
        <v>391</v>
      </c>
      <c r="D32" s="26">
        <v>386</v>
      </c>
      <c r="E32" s="102">
        <v>-14.6</v>
      </c>
      <c r="F32" s="103"/>
      <c r="G32" s="104"/>
      <c r="H32" s="105"/>
      <c r="I32" s="105"/>
      <c r="J32" s="106"/>
      <c r="K32" s="103"/>
      <c r="L32" s="104"/>
      <c r="M32" s="105"/>
      <c r="N32" s="105"/>
      <c r="O32" s="106"/>
      <c r="P32" s="103"/>
      <c r="Q32" s="104"/>
      <c r="R32" s="105"/>
      <c r="S32" s="105"/>
      <c r="T32" s="106"/>
      <c r="U32" s="35" t="s">
        <v>75</v>
      </c>
      <c r="V32" s="32">
        <v>45886</v>
      </c>
      <c r="W32" s="26">
        <v>391</v>
      </c>
      <c r="X32" s="26">
        <v>386</v>
      </c>
      <c r="Y32" s="102">
        <v>-14.6</v>
      </c>
      <c r="Z32" s="99"/>
      <c r="AA32" s="100"/>
      <c r="AB32" s="101"/>
      <c r="AC32" s="101"/>
      <c r="AD32" s="102"/>
      <c r="AE32" s="99"/>
      <c r="AF32" s="100"/>
      <c r="AG32" s="101"/>
      <c r="AH32" s="101"/>
      <c r="AI32" s="102"/>
      <c r="AJ32" s="99"/>
      <c r="AK32" s="100"/>
      <c r="AL32" s="101"/>
      <c r="AM32" s="101"/>
      <c r="AN32" s="102"/>
      <c r="AO32" s="99"/>
      <c r="AP32" s="100"/>
      <c r="AQ32" s="101"/>
      <c r="AR32" s="101"/>
      <c r="AS32" s="102"/>
      <c r="AT32" s="99"/>
      <c r="AU32" s="100"/>
      <c r="AV32" s="101"/>
      <c r="AW32" s="101"/>
      <c r="AX32" s="102"/>
      <c r="AY32" s="99"/>
      <c r="AZ32" s="100"/>
      <c r="BA32" s="101"/>
      <c r="BB32" s="101"/>
      <c r="BC32" s="102"/>
      <c r="BD32" s="35" t="s">
        <v>75</v>
      </c>
      <c r="BE32" s="32">
        <v>45936</v>
      </c>
      <c r="BF32" s="26">
        <v>387</v>
      </c>
      <c r="BG32" s="26">
        <v>330.5</v>
      </c>
      <c r="BH32" s="41">
        <v>-14.5994832041343</v>
      </c>
      <c r="BI32" s="99"/>
      <c r="BJ32" s="100"/>
      <c r="BK32" s="101"/>
      <c r="BL32" s="101"/>
      <c r="BM32" s="102"/>
      <c r="BN32" s="35" t="s">
        <v>75</v>
      </c>
      <c r="BO32" s="32">
        <v>45950</v>
      </c>
      <c r="BP32" s="26">
        <v>361</v>
      </c>
      <c r="BQ32" s="26">
        <v>336</v>
      </c>
      <c r="BR32" s="40">
        <v>-6.9252077562326804</v>
      </c>
      <c r="BS32" s="30" t="s">
        <v>75</v>
      </c>
      <c r="BT32" s="28">
        <v>45957</v>
      </c>
      <c r="BU32" s="27">
        <v>341.25</v>
      </c>
      <c r="BV32" s="27">
        <v>323.25</v>
      </c>
      <c r="BW32" s="49">
        <v>-5.2747252747252702</v>
      </c>
      <c r="BX32" s="129" t="s">
        <v>75</v>
      </c>
      <c r="BY32" s="117">
        <v>45964</v>
      </c>
      <c r="BZ32" s="116">
        <v>350.25</v>
      </c>
      <c r="CA32" s="116">
        <v>375.75</v>
      </c>
      <c r="CB32" s="133">
        <v>6.7864271457085801</v>
      </c>
      <c r="CC32" s="30"/>
      <c r="CD32" s="27"/>
      <c r="CE32" s="27"/>
      <c r="CF32" s="27"/>
      <c r="CG32" s="49"/>
      <c r="CH32" s="141" t="s">
        <v>75</v>
      </c>
      <c r="CI32" s="135">
        <v>45978</v>
      </c>
      <c r="CJ32" s="136">
        <v>333</v>
      </c>
      <c r="CK32" s="136">
        <v>312.75</v>
      </c>
      <c r="CL32" s="142">
        <v>-6.0810810810810896</v>
      </c>
      <c r="DA32" s="69" t="s">
        <v>75</v>
      </c>
      <c r="DB32" s="71">
        <f t="shared" si="0"/>
        <v>364.92857142857144</v>
      </c>
      <c r="DC32" s="112">
        <f t="shared" si="1"/>
        <v>350.03571428571428</v>
      </c>
      <c r="DD32" s="109">
        <f t="shared" si="2"/>
        <v>-8.7492660011744022E-2</v>
      </c>
      <c r="DE32" s="127">
        <f t="shared" si="3"/>
        <v>-0.10651974288337923</v>
      </c>
      <c r="DF32" s="64" t="e">
        <f t="shared" si="4"/>
        <v>#DIV/0!</v>
      </c>
      <c r="DG32" s="63" t="e">
        <f t="shared" si="5"/>
        <v>#DIV/0!</v>
      </c>
      <c r="DH32" s="109">
        <f t="shared" si="6"/>
        <v>-0.14833759590792839</v>
      </c>
      <c r="DI32" s="63">
        <f t="shared" si="7"/>
        <v>-0.18976683937823835</v>
      </c>
    </row>
    <row r="33" spans="1:113" ht="17" thickBot="1" x14ac:dyDescent="0.25">
      <c r="A33" s="36" t="s">
        <v>44</v>
      </c>
      <c r="B33" s="37">
        <v>45862</v>
      </c>
      <c r="C33" s="38">
        <v>324.25</v>
      </c>
      <c r="D33" s="38">
        <v>309.5</v>
      </c>
      <c r="E33" s="42">
        <v>-4.5489591364687696</v>
      </c>
      <c r="F33" s="43" t="s">
        <v>44</v>
      </c>
      <c r="G33" s="44">
        <v>45869</v>
      </c>
      <c r="H33" s="45">
        <v>278.75</v>
      </c>
      <c r="I33" s="45">
        <v>282.25</v>
      </c>
      <c r="J33" s="50">
        <v>1.2400354295836999</v>
      </c>
      <c r="K33" s="43" t="s">
        <v>44</v>
      </c>
      <c r="L33" s="44">
        <v>45874</v>
      </c>
      <c r="M33" s="45">
        <v>371.25</v>
      </c>
      <c r="N33" s="45">
        <v>341.5</v>
      </c>
      <c r="O33" s="50">
        <v>-8.0134680134680103</v>
      </c>
      <c r="P33" s="43" t="s">
        <v>44</v>
      </c>
      <c r="Q33" s="44">
        <v>45880</v>
      </c>
      <c r="R33" s="45">
        <v>350.75</v>
      </c>
      <c r="S33" s="45">
        <v>362.25</v>
      </c>
      <c r="T33" s="83" t="s">
        <v>71</v>
      </c>
      <c r="U33" s="36" t="s">
        <v>44</v>
      </c>
      <c r="V33" s="37">
        <v>45886</v>
      </c>
      <c r="W33" s="38">
        <v>423.75</v>
      </c>
      <c r="X33" s="38">
        <v>364</v>
      </c>
      <c r="Y33" s="42">
        <v>-14.1002949852507</v>
      </c>
      <c r="Z33" s="36" t="s">
        <v>44</v>
      </c>
      <c r="AA33" s="37">
        <v>45894</v>
      </c>
      <c r="AB33" s="38">
        <v>361.5</v>
      </c>
      <c r="AC33" s="38">
        <v>374.5</v>
      </c>
      <c r="AD33" s="42">
        <v>3.4712950600801</v>
      </c>
      <c r="AE33" s="36" t="s">
        <v>44</v>
      </c>
      <c r="AF33" s="37">
        <v>45901</v>
      </c>
      <c r="AG33" s="38">
        <v>339.25</v>
      </c>
      <c r="AH33" s="38">
        <v>358</v>
      </c>
      <c r="AI33" s="42">
        <v>5.2374301675977604</v>
      </c>
      <c r="AJ33" s="36" t="s">
        <v>44</v>
      </c>
      <c r="AK33" s="37">
        <v>45908</v>
      </c>
      <c r="AL33" s="38">
        <v>344</v>
      </c>
      <c r="AM33" s="38">
        <v>345</v>
      </c>
      <c r="AN33" s="42">
        <v>0.28985507246376202</v>
      </c>
      <c r="AO33" s="36" t="s">
        <v>44</v>
      </c>
      <c r="AP33" s="37">
        <v>45915</v>
      </c>
      <c r="AQ33" s="38">
        <v>418.75</v>
      </c>
      <c r="AR33" s="38">
        <v>401</v>
      </c>
      <c r="AS33" s="42">
        <v>-4.23880597014925</v>
      </c>
      <c r="AT33" s="36" t="s">
        <v>44</v>
      </c>
      <c r="AU33" s="37">
        <v>45922</v>
      </c>
      <c r="AV33" s="38">
        <v>407.75</v>
      </c>
      <c r="AW33" s="38">
        <v>361.5</v>
      </c>
      <c r="AX33" s="42">
        <v>-11.3427345187001</v>
      </c>
      <c r="AY33" s="36" t="s">
        <v>44</v>
      </c>
      <c r="AZ33" s="37">
        <v>45929</v>
      </c>
      <c r="BA33" s="38">
        <v>405.5</v>
      </c>
      <c r="BB33" s="38">
        <v>383.25</v>
      </c>
      <c r="BC33" s="42">
        <v>-5.4870530209617696</v>
      </c>
      <c r="BD33" s="36" t="s">
        <v>44</v>
      </c>
      <c r="BE33" s="37">
        <v>45936</v>
      </c>
      <c r="BF33" s="38">
        <v>322.5</v>
      </c>
      <c r="BG33" s="38">
        <v>351.75</v>
      </c>
      <c r="BH33" s="42">
        <v>8.3155650319829402</v>
      </c>
      <c r="BI33" s="36" t="s">
        <v>44</v>
      </c>
      <c r="BJ33" s="37">
        <v>45943</v>
      </c>
      <c r="BK33" s="38">
        <v>415</v>
      </c>
      <c r="BL33" s="38">
        <v>383.5</v>
      </c>
      <c r="BM33" s="42">
        <v>-7.5903614457831301</v>
      </c>
      <c r="BN33" s="36" t="s">
        <v>44</v>
      </c>
      <c r="BO33" s="37">
        <v>45950</v>
      </c>
      <c r="BP33" s="38">
        <v>396.5</v>
      </c>
      <c r="BQ33" s="38">
        <v>394.25</v>
      </c>
      <c r="BR33" s="42">
        <v>-0.56746532156368701</v>
      </c>
      <c r="BS33" s="43" t="s">
        <v>44</v>
      </c>
      <c r="BT33" s="44">
        <v>45957</v>
      </c>
      <c r="BU33" s="45">
        <v>415</v>
      </c>
      <c r="BV33" s="45">
        <v>389.25</v>
      </c>
      <c r="BW33" s="50">
        <v>-6.2048192771084301</v>
      </c>
      <c r="BX33" s="130" t="s">
        <v>44</v>
      </c>
      <c r="BY33" s="124">
        <v>45964</v>
      </c>
      <c r="BZ33" s="125">
        <v>406.75</v>
      </c>
      <c r="CA33" s="125">
        <v>400.75</v>
      </c>
      <c r="CB33" s="134">
        <v>-1.47510755992625</v>
      </c>
      <c r="CC33" s="43"/>
      <c r="CD33" s="45"/>
      <c r="CE33" s="45"/>
      <c r="CF33" s="45"/>
      <c r="CG33" s="50"/>
      <c r="CH33" s="143" t="s">
        <v>44</v>
      </c>
      <c r="CI33" s="144">
        <v>45978</v>
      </c>
      <c r="CJ33" s="145">
        <v>374.5</v>
      </c>
      <c r="CK33" s="145">
        <v>341</v>
      </c>
      <c r="CL33" s="146">
        <v>-8.9452603471294996</v>
      </c>
      <c r="DA33" s="70" t="s">
        <v>44</v>
      </c>
      <c r="DB33" s="72">
        <f t="shared" si="0"/>
        <v>373.86764705882354</v>
      </c>
      <c r="DC33" s="113">
        <f t="shared" si="1"/>
        <v>361.36764705882354</v>
      </c>
      <c r="DD33" s="110">
        <f t="shared" si="2"/>
        <v>1.6913818196121443E-3</v>
      </c>
      <c r="DE33" s="128">
        <f t="shared" si="3"/>
        <v>-5.6362674480120473E-2</v>
      </c>
      <c r="DF33" s="114" t="e">
        <f t="shared" si="4"/>
        <v>#DIV/0!</v>
      </c>
      <c r="DG33" s="73" t="e">
        <f t="shared" si="5"/>
        <v>#DIV/0!</v>
      </c>
      <c r="DH33" s="110">
        <f t="shared" si="6"/>
        <v>0.15497301464919044</v>
      </c>
      <c r="DI33" s="73">
        <f t="shared" si="7"/>
        <v>0.10177705977382875</v>
      </c>
    </row>
    <row r="34" spans="1:113" ht="17" thickBot="1" x14ac:dyDescent="0.25">
      <c r="DB34" s="2"/>
      <c r="DC34" s="2"/>
      <c r="DD34" s="4"/>
      <c r="DE34" s="3"/>
    </row>
    <row r="35" spans="1:113" ht="17" thickBot="1" x14ac:dyDescent="0.25">
      <c r="A35" t="s">
        <v>54</v>
      </c>
      <c r="C35">
        <f>AVERAGE(C2:C33)</f>
        <v>415.72580645161293</v>
      </c>
      <c r="D35">
        <f>AVERAGE(D2:D33)</f>
        <v>368.27419354838707</v>
      </c>
      <c r="H35">
        <f>AVERAGE(H2:H33)</f>
        <v>425.53125</v>
      </c>
      <c r="I35">
        <f>AVERAGE(I2:I33)</f>
        <v>370.51041666666669</v>
      </c>
      <c r="M35">
        <f>AVERAGE(M2:M33)</f>
        <v>447.71</v>
      </c>
      <c r="N35">
        <f>AVERAGE(N2:N33)</f>
        <v>388.89</v>
      </c>
      <c r="R35">
        <f>AVERAGE(R2:R33)</f>
        <v>447.70535714285717</v>
      </c>
      <c r="S35">
        <f>AVERAGE(S2:S33)</f>
        <v>384.59821428571428</v>
      </c>
      <c r="W35">
        <f>AVERAGE(W2:W33)</f>
        <v>468.05357142857144</v>
      </c>
      <c r="X35">
        <f>AVERAGE(X2:X33)</f>
        <v>397.69642857142856</v>
      </c>
      <c r="AB35">
        <f>AVERAGE(AB2:AB33)</f>
        <v>434.14814814814815</v>
      </c>
      <c r="AC35">
        <f>AVERAGE(AC2:AC33)</f>
        <v>402.59259259259261</v>
      </c>
      <c r="AG35">
        <f>AVERAGE(AG2:AG33)</f>
        <v>427.1875</v>
      </c>
      <c r="AH35">
        <f>AVERAGE(AH2:AH33)</f>
        <v>381.6875</v>
      </c>
      <c r="AL35">
        <f>AVERAGE(AL2:AL33)</f>
        <v>433.78</v>
      </c>
      <c r="AM35">
        <f>AVERAGE(AM2:AM33)</f>
        <v>376.05</v>
      </c>
      <c r="AQ35">
        <f>AVERAGE(AQ2:AQ33)</f>
        <v>430.96590909090907</v>
      </c>
      <c r="AR35">
        <f>AVERAGE(AR2:AR33)</f>
        <v>377.98863636363637</v>
      </c>
      <c r="AV35">
        <f>AVERAGE(AV2:AV33)</f>
        <v>424.05208333333331</v>
      </c>
      <c r="AW35">
        <f>AVERAGE(AW2:AW33)</f>
        <v>382.58333333333331</v>
      </c>
      <c r="BA35">
        <f>AVERAGE(BA2:BA33)</f>
        <v>430.54</v>
      </c>
      <c r="BB35">
        <f>AVERAGE(BB2:BB33)</f>
        <v>384.73</v>
      </c>
      <c r="BF35">
        <f>AVERAGE(BF2:BF33)</f>
        <v>424.83620689655174</v>
      </c>
      <c r="BG35">
        <f>AVERAGE(BG2:BG33)</f>
        <v>372.70689655172413</v>
      </c>
      <c r="BK35">
        <f>AVERAGE(BK2:BK33)</f>
        <v>428.46875</v>
      </c>
      <c r="BL35">
        <f>AVERAGE(BL2:BL33)</f>
        <v>379.54166666666669</v>
      </c>
      <c r="BP35">
        <f>AVERAGE(BP2:BP33)</f>
        <v>430.5344827586207</v>
      </c>
      <c r="BQ35">
        <f>AVERAGE(BQ2:BQ33)</f>
        <v>377.38793103448273</v>
      </c>
      <c r="BU35">
        <f>AVERAGE(BU2:BU33)</f>
        <v>417.19444444444446</v>
      </c>
      <c r="BV35">
        <f>AVERAGE(BV2:BV33)</f>
        <v>373.4537037037037</v>
      </c>
      <c r="BZ35">
        <f>AVERAGE(BZ2:BZ33)</f>
        <v>430.6875</v>
      </c>
      <c r="CA35">
        <f>AVERAGE(CA2:CA33)</f>
        <v>399.40625</v>
      </c>
      <c r="CE35">
        <f>AVERAGE(CE2:CE33)</f>
        <v>435.13541666666669</v>
      </c>
      <c r="CF35">
        <f>AVERAGE(CF2:CF33)</f>
        <v>382.44791666666669</v>
      </c>
      <c r="CJ35">
        <f>AVERAGE(CJ2:CJ33)</f>
        <v>430.71</v>
      </c>
      <c r="CK35">
        <f>AVERAGE(CK2:CK33)</f>
        <v>375.16</v>
      </c>
      <c r="DB35" s="11">
        <f>AVERAGE(C35,H35,M35,R35,W35,AB35,AG35,AL35,AQ35,AV35,BA35,BF35,BK35,BP35,BU35,BZ35,CE35,CJ35)</f>
        <v>432.38702368676195</v>
      </c>
      <c r="DC35" s="131">
        <f>AVERAGE(D35,I35,N35,S35,X35,AC35,AH35,AM35,AR35,AW35,BB35,BG35,BL35,BQ35,BV35,CA35,CF35,CK35)</f>
        <v>381.98364888805571</v>
      </c>
      <c r="DD35" s="94">
        <f>(CJ35-DB35)/DB35</f>
        <v>-3.8785245506740081E-3</v>
      </c>
      <c r="DE35" s="94">
        <f>(CK35-DC35)/DC35</f>
        <v>-1.786371984224756E-2</v>
      </c>
      <c r="DF35" s="94">
        <f>(CJ35-CE35)/CE35</f>
        <v>-1.0170205635219011E-2</v>
      </c>
      <c r="DG35" s="94">
        <f>(CK35-CF35)/CF35</f>
        <v>-1.9055971673702831E-2</v>
      </c>
      <c r="DH35" s="94">
        <f>(CJ35-C35)/C35</f>
        <v>3.6043452958292817E-2</v>
      </c>
      <c r="DI35" s="95">
        <f>(CK35-D35)/D35</f>
        <v>1.8697499233565583E-2</v>
      </c>
    </row>
    <row r="36" spans="1:113" x14ac:dyDescent="0.2">
      <c r="DD36" s="159">
        <f>AVERAGE(DD35:DE35)</f>
        <v>-1.0871122196460784E-2</v>
      </c>
      <c r="DE36" s="160"/>
      <c r="DF36" s="159">
        <f>AVERAGE(DF35:DG35)</f>
        <v>-1.4613088654460921E-2</v>
      </c>
      <c r="DG36" s="160"/>
      <c r="DH36" s="159">
        <f>AVERAGE(DH35:DI35)</f>
        <v>2.73704760959292E-2</v>
      </c>
      <c r="DI36" s="160"/>
    </row>
    <row r="38" spans="1:113" x14ac:dyDescent="0.2">
      <c r="DI38" s="4"/>
    </row>
  </sheetData>
  <sortState xmlns:xlrd2="http://schemas.microsoft.com/office/spreadsheetml/2017/richdata2" ref="CH2:CL25">
    <sortCondition ref="CH2:CH25"/>
  </sortState>
  <mergeCells count="3">
    <mergeCell ref="DD36:DE36"/>
    <mergeCell ref="DF36:DG36"/>
    <mergeCell ref="DH36:DI36"/>
  </mergeCells>
  <conditionalFormatting sqref="DD34:DE34 DI38 DD2:DI33">
    <cfRule type="colorScale" priority="63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D35:DI35">
    <cfRule type="colorScale" priority="1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CMJ Inseason</vt:lpstr>
      <vt:lpstr>Nordbord Inseason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Sreehari Venkat</cp:lastModifiedBy>
  <dcterms:created xsi:type="dcterms:W3CDTF">2024-08-26T18:33:13Z</dcterms:created>
  <dcterms:modified xsi:type="dcterms:W3CDTF">2025-12-14T23:50:52Z</dcterms:modified>
</cp:coreProperties>
</file>