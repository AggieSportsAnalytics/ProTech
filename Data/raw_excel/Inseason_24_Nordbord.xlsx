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jbourqu/Desktop/"/>
    </mc:Choice>
  </mc:AlternateContent>
  <xr:revisionPtr revIDLastSave="0" documentId="13_ncr:1_{12878B19-A8BB-E943-88E2-DF371E075FCE}" xr6:coauthVersionLast="47" xr6:coauthVersionMax="47" xr10:uidLastSave="{00000000-0000-0000-0000-000000000000}"/>
  <bookViews>
    <workbookView xWindow="-20" yWindow="620" windowWidth="28800" windowHeight="15580" xr2:uid="{68F18A4E-16B6-C849-8DAE-51593F9DA775}"/>
  </bookViews>
  <sheets>
    <sheet name="Nordbord Inseason Wk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37" i="1" l="1"/>
  <c r="DF37" i="1"/>
  <c r="DC37" i="1"/>
  <c r="DE37" i="1" s="1"/>
  <c r="DB37" i="1"/>
  <c r="DD37" i="1" s="1"/>
  <c r="DG35" i="1"/>
  <c r="DF35" i="1"/>
  <c r="DD35" i="1"/>
  <c r="DC35" i="1"/>
  <c r="DE35" i="1" s="1"/>
  <c r="DB35" i="1"/>
  <c r="DG34" i="1"/>
  <c r="DF34" i="1"/>
  <c r="DC34" i="1"/>
  <c r="DE34" i="1" s="1"/>
  <c r="DB34" i="1"/>
  <c r="DD34" i="1" s="1"/>
  <c r="DG33" i="1"/>
  <c r="DF33" i="1"/>
  <c r="DE33" i="1"/>
  <c r="DD33" i="1"/>
  <c r="DC33" i="1"/>
  <c r="DB33" i="1"/>
  <c r="DG32" i="1"/>
  <c r="DF32" i="1"/>
  <c r="DC32" i="1"/>
  <c r="DE32" i="1" s="1"/>
  <c r="DB32" i="1"/>
  <c r="DD32" i="1" s="1"/>
  <c r="DG31" i="1"/>
  <c r="DF31" i="1"/>
  <c r="DC31" i="1"/>
  <c r="DE31" i="1" s="1"/>
  <c r="DB31" i="1"/>
  <c r="DD31" i="1" s="1"/>
  <c r="DG30" i="1"/>
  <c r="DF30" i="1"/>
  <c r="DC30" i="1"/>
  <c r="DE30" i="1" s="1"/>
  <c r="DB30" i="1"/>
  <c r="DD30" i="1" s="1"/>
  <c r="DG29" i="1"/>
  <c r="DF29" i="1"/>
  <c r="DE29" i="1"/>
  <c r="DD29" i="1"/>
  <c r="DC29" i="1"/>
  <c r="DB29" i="1"/>
  <c r="DG28" i="1"/>
  <c r="DF28" i="1"/>
  <c r="DC28" i="1"/>
  <c r="DE28" i="1" s="1"/>
  <c r="DB28" i="1"/>
  <c r="DD28" i="1" s="1"/>
  <c r="DG27" i="1"/>
  <c r="DF27" i="1"/>
  <c r="DC27" i="1"/>
  <c r="DE27" i="1" s="1"/>
  <c r="DB27" i="1"/>
  <c r="DD27" i="1" s="1"/>
  <c r="DG26" i="1"/>
  <c r="DF26" i="1"/>
  <c r="DC26" i="1"/>
  <c r="DE26" i="1" s="1"/>
  <c r="DB26" i="1"/>
  <c r="DD26" i="1" s="1"/>
  <c r="DG25" i="1"/>
  <c r="DF25" i="1"/>
  <c r="DE25" i="1"/>
  <c r="DD25" i="1"/>
  <c r="DC25" i="1"/>
  <c r="DB25" i="1"/>
  <c r="DG24" i="1"/>
  <c r="DF24" i="1"/>
  <c r="DC24" i="1"/>
  <c r="DE24" i="1" s="1"/>
  <c r="DB24" i="1"/>
  <c r="DD24" i="1" s="1"/>
  <c r="DG23" i="1"/>
  <c r="DF23" i="1"/>
  <c r="DC23" i="1"/>
  <c r="DE23" i="1" s="1"/>
  <c r="DB23" i="1"/>
  <c r="DD23" i="1" s="1"/>
  <c r="DG22" i="1"/>
  <c r="DF22" i="1"/>
  <c r="DC22" i="1"/>
  <c r="DE22" i="1" s="1"/>
  <c r="DB22" i="1"/>
  <c r="DD22" i="1" s="1"/>
  <c r="DG21" i="1"/>
  <c r="DF21" i="1"/>
  <c r="DE21" i="1"/>
  <c r="DD21" i="1"/>
  <c r="DC21" i="1"/>
  <c r="DB21" i="1"/>
  <c r="DG20" i="1"/>
  <c r="DF20" i="1"/>
  <c r="DC20" i="1"/>
  <c r="DE20" i="1" s="1"/>
  <c r="DB20" i="1"/>
  <c r="DD20" i="1" s="1"/>
  <c r="DG19" i="1"/>
  <c r="DF19" i="1"/>
  <c r="DC19" i="1"/>
  <c r="DE19" i="1" s="1"/>
  <c r="DB19" i="1"/>
  <c r="DD19" i="1" s="1"/>
  <c r="DG18" i="1"/>
  <c r="DF18" i="1"/>
  <c r="DC18" i="1"/>
  <c r="DE18" i="1" s="1"/>
  <c r="DB18" i="1"/>
  <c r="DD18" i="1" s="1"/>
  <c r="DG17" i="1"/>
  <c r="DF17" i="1"/>
  <c r="DE17" i="1"/>
  <c r="DD17" i="1"/>
  <c r="DC17" i="1"/>
  <c r="DB17" i="1"/>
  <c r="DG16" i="1"/>
  <c r="DF16" i="1"/>
  <c r="DC16" i="1"/>
  <c r="DE16" i="1" s="1"/>
  <c r="DB16" i="1"/>
  <c r="DD16" i="1" s="1"/>
  <c r="DG15" i="1"/>
  <c r="DF15" i="1"/>
  <c r="DC15" i="1"/>
  <c r="DE15" i="1" s="1"/>
  <c r="DB15" i="1"/>
  <c r="DD15" i="1" s="1"/>
  <c r="DG14" i="1"/>
  <c r="DF14" i="1"/>
  <c r="DC14" i="1"/>
  <c r="DE14" i="1" s="1"/>
  <c r="DB14" i="1"/>
  <c r="DD14" i="1" s="1"/>
  <c r="DG13" i="1"/>
  <c r="DF13" i="1"/>
  <c r="DE13" i="1"/>
  <c r="DD13" i="1"/>
  <c r="DC13" i="1"/>
  <c r="DB13" i="1"/>
  <c r="DG12" i="1"/>
  <c r="DF12" i="1"/>
  <c r="DC12" i="1"/>
  <c r="DE12" i="1" s="1"/>
  <c r="DB12" i="1"/>
  <c r="DD12" i="1" s="1"/>
  <c r="DG11" i="1"/>
  <c r="DF11" i="1"/>
  <c r="DC11" i="1"/>
  <c r="DE11" i="1" s="1"/>
  <c r="DB11" i="1"/>
  <c r="DD11" i="1" s="1"/>
  <c r="DG10" i="1"/>
  <c r="DF10" i="1"/>
  <c r="DC10" i="1"/>
  <c r="DE10" i="1" s="1"/>
  <c r="DB10" i="1"/>
  <c r="DD10" i="1" s="1"/>
  <c r="DG9" i="1"/>
  <c r="DF9" i="1"/>
  <c r="DE9" i="1"/>
  <c r="DD9" i="1"/>
  <c r="DC9" i="1"/>
  <c r="DB9" i="1"/>
  <c r="DG8" i="1"/>
  <c r="DF8" i="1"/>
  <c r="DC8" i="1"/>
  <c r="DE8" i="1" s="1"/>
  <c r="DB8" i="1"/>
  <c r="DD8" i="1" s="1"/>
  <c r="DG7" i="1"/>
  <c r="DF7" i="1"/>
  <c r="DC7" i="1"/>
  <c r="DE7" i="1" s="1"/>
  <c r="DB7" i="1"/>
  <c r="DD7" i="1" s="1"/>
  <c r="DG6" i="1"/>
  <c r="DF6" i="1"/>
  <c r="DC6" i="1"/>
  <c r="DE6" i="1" s="1"/>
  <c r="DB6" i="1"/>
  <c r="DD6" i="1" s="1"/>
  <c r="DG5" i="1"/>
  <c r="DF5" i="1"/>
  <c r="DE5" i="1"/>
  <c r="DD5" i="1"/>
  <c r="DC5" i="1"/>
  <c r="DB5" i="1"/>
  <c r="DG4" i="1"/>
  <c r="DF4" i="1"/>
  <c r="DC4" i="1"/>
  <c r="DE4" i="1" s="1"/>
  <c r="DB4" i="1"/>
  <c r="DD4" i="1" s="1"/>
  <c r="DG3" i="1"/>
  <c r="DF3" i="1"/>
  <c r="DC3" i="1"/>
  <c r="DE3" i="1" s="1"/>
  <c r="DB3" i="1"/>
  <c r="DD3" i="1" s="1"/>
  <c r="DG2" i="1"/>
  <c r="DF2" i="1"/>
  <c r="DE2" i="1"/>
  <c r="DD2" i="1"/>
  <c r="DC2" i="1"/>
  <c r="DB2" i="1"/>
  <c r="CY37" i="1"/>
  <c r="CX37" i="1"/>
  <c r="CT37" i="1"/>
  <c r="CS37" i="1"/>
  <c r="CO37" i="1"/>
  <c r="CN37" i="1"/>
  <c r="CJ37" i="1"/>
  <c r="CI37" i="1"/>
  <c r="CE37" i="1"/>
  <c r="CD37" i="1"/>
  <c r="BZ37" i="1"/>
  <c r="BY37" i="1"/>
  <c r="BU37" i="1"/>
  <c r="BT37" i="1"/>
  <c r="BP37" i="1"/>
  <c r="BO37" i="1"/>
  <c r="BK37" i="1"/>
  <c r="BJ37" i="1"/>
  <c r="BF37" i="1"/>
  <c r="BE37" i="1"/>
  <c r="DI5" i="1"/>
  <c r="DI4" i="1"/>
  <c r="DI3" i="1"/>
  <c r="DH6" i="1"/>
  <c r="DH5" i="1"/>
  <c r="DH4" i="1"/>
  <c r="DH3" i="1"/>
  <c r="DH2" i="1"/>
  <c r="DI31" i="1"/>
  <c r="DH31" i="1"/>
  <c r="DI35" i="1"/>
  <c r="DH35" i="1"/>
  <c r="DI34" i="1"/>
  <c r="DH34" i="1"/>
  <c r="DI33" i="1"/>
  <c r="DH33" i="1"/>
  <c r="DI32" i="1"/>
  <c r="DH32" i="1"/>
  <c r="DI25" i="1"/>
  <c r="DH25" i="1"/>
  <c r="DI30" i="1"/>
  <c r="DH30" i="1"/>
  <c r="DI29" i="1"/>
  <c r="DH29" i="1"/>
  <c r="DI28" i="1"/>
  <c r="DH28" i="1"/>
  <c r="DI27" i="1"/>
  <c r="DH27" i="1"/>
  <c r="DI26" i="1"/>
  <c r="DH26" i="1"/>
  <c r="DI24" i="1"/>
  <c r="DH24" i="1"/>
  <c r="DI23" i="1"/>
  <c r="DH23" i="1"/>
  <c r="DI22" i="1"/>
  <c r="DH22" i="1"/>
  <c r="DI21" i="1"/>
  <c r="DH21" i="1"/>
  <c r="DI20" i="1"/>
  <c r="DH20" i="1"/>
  <c r="DI19" i="1"/>
  <c r="DH19" i="1"/>
  <c r="DI18" i="1"/>
  <c r="DH18" i="1"/>
  <c r="DI17" i="1"/>
  <c r="DH17" i="1"/>
  <c r="DI16" i="1"/>
  <c r="DH16" i="1"/>
  <c r="DI15" i="1"/>
  <c r="DH15" i="1"/>
  <c r="DI14" i="1"/>
  <c r="DH14" i="1"/>
  <c r="DI13" i="1"/>
  <c r="DH13" i="1"/>
  <c r="DI12" i="1"/>
  <c r="DH12" i="1"/>
  <c r="DI10" i="1"/>
  <c r="DH10" i="1"/>
  <c r="DI9" i="1"/>
  <c r="DH9" i="1"/>
  <c r="DI8" i="1"/>
  <c r="DH8" i="1"/>
  <c r="DI7" i="1"/>
  <c r="DH7" i="1"/>
  <c r="DI6" i="1"/>
  <c r="BA37" i="1"/>
  <c r="AZ37" i="1"/>
  <c r="DI2" i="1"/>
  <c r="AV37" i="1"/>
  <c r="AU37" i="1"/>
  <c r="AQ37" i="1"/>
  <c r="AP37" i="1"/>
  <c r="AK37" i="1"/>
  <c r="AL37" i="1"/>
  <c r="AG37" i="1"/>
  <c r="AF37" i="1"/>
  <c r="AB37" i="1"/>
  <c r="AA37" i="1"/>
  <c r="V37" i="1"/>
  <c r="U37" i="1"/>
  <c r="P37" i="1"/>
  <c r="O37" i="1"/>
  <c r="J37" i="1"/>
  <c r="I37" i="1"/>
  <c r="D37" i="1"/>
  <c r="C37" i="1"/>
  <c r="DH37" i="1" l="1"/>
  <c r="DI37" i="1"/>
  <c r="DF38" i="1" l="1"/>
  <c r="DD38" i="1"/>
  <c r="DH38" i="1"/>
</calcChain>
</file>

<file path=xl/sharedStrings.xml><?xml version="1.0" encoding="utf-8"?>
<sst xmlns="http://schemas.openxmlformats.org/spreadsheetml/2006/main" count="703" uniqueCount="47">
  <si>
    <t>Name</t>
  </si>
  <si>
    <t>Date UTC</t>
  </si>
  <si>
    <t>L Max Force (N)</t>
  </si>
  <si>
    <t>R Max Force (N)</t>
  </si>
  <si>
    <t>Max Imbalance (%)</t>
  </si>
  <si>
    <t>Lan Larison</t>
  </si>
  <si>
    <t>Markeece Alexander</t>
  </si>
  <si>
    <t>Kavir Bains</t>
  </si>
  <si>
    <t>Chaz Davis</t>
  </si>
  <si>
    <t>Stacy Dobbins</t>
  </si>
  <si>
    <t>Grant Garretson</t>
  </si>
  <si>
    <t>David Meyer</t>
  </si>
  <si>
    <t>Porter Connors</t>
  </si>
  <si>
    <t>Rex Connors</t>
  </si>
  <si>
    <t>Grant Harper</t>
  </si>
  <si>
    <t>Sam Gbatu</t>
  </si>
  <si>
    <t>Jayden Stanley</t>
  </si>
  <si>
    <t>Lamont Shamburger</t>
  </si>
  <si>
    <t>Josh Gale</t>
  </si>
  <si>
    <t>Winston Williams</t>
  </si>
  <si>
    <t>Zach Jones</t>
  </si>
  <si>
    <t>Blake Antzaloutas</t>
  </si>
  <si>
    <t>Jacob Horne</t>
  </si>
  <si>
    <t>Luka Sarac</t>
  </si>
  <si>
    <t>CJ Hutton</t>
  </si>
  <si>
    <t>Tyson McWilliams</t>
  </si>
  <si>
    <t>Miles Hastings</t>
  </si>
  <si>
    <t>Jackson Cloyd</t>
  </si>
  <si>
    <t>Blake Cotton</t>
  </si>
  <si>
    <t>Christian Calhoun</t>
  </si>
  <si>
    <t>Sam Goligoski</t>
  </si>
  <si>
    <t>Semaj Verner</t>
  </si>
  <si>
    <t>Abe Del Real</t>
  </si>
  <si>
    <t>Kai Acia</t>
  </si>
  <si>
    <t>Jordan Fisher</t>
  </si>
  <si>
    <t>Matteo Perez</t>
  </si>
  <si>
    <t xml:space="preserve">L AVG </t>
  </si>
  <si>
    <t xml:space="preserve">R AVG </t>
  </si>
  <si>
    <t>L Today vs Avg</t>
  </si>
  <si>
    <t>R Today vs Avg</t>
  </si>
  <si>
    <t>L Today vs Last Week</t>
  </si>
  <si>
    <t>R Today vs Last Week</t>
  </si>
  <si>
    <t>L Today vs Baseline</t>
  </si>
  <si>
    <t>R Today vs Baseline</t>
  </si>
  <si>
    <t>Trent Tompkins</t>
  </si>
  <si>
    <t>Mitch Dixon</t>
  </si>
  <si>
    <t>Ian Simpson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</si>
</sst>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0">
    <xf numFmtId="0" fontId="0" fillId="0" borderId="0" xfId="0"/>
    <xf numFmtId="14" fontId="0" fillId="0" borderId="0" xfId="0" applyNumberFormat="1"/>
    <xf numFmtId="0" fontId="18" fillId="0" borderId="0" xfId="0" applyFon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center"/>
    </xf>
    <xf numFmtId="1" fontId="0" fillId="0" borderId="13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0" fontId="0" fillId="34" borderId="0" xfId="0" applyFill="1"/>
    <xf numFmtId="2" fontId="0" fillId="0" borderId="14" xfId="0" applyNumberFormat="1" applyBorder="1" applyAlignment="1">
      <alignment horizontal="center"/>
    </xf>
    <xf numFmtId="0" fontId="18" fillId="0" borderId="10" xfId="0" applyFont="1" applyBorder="1"/>
    <xf numFmtId="0" fontId="18" fillId="0" borderId="11" xfId="0" applyFont="1" applyBorder="1"/>
    <xf numFmtId="0" fontId="0" fillId="0" borderId="15" xfId="0" applyBorder="1"/>
    <xf numFmtId="0" fontId="0" fillId="0" borderId="17" xfId="0" applyBorder="1"/>
    <xf numFmtId="14" fontId="0" fillId="0" borderId="18" xfId="0" applyNumberFormat="1" applyBorder="1"/>
    <xf numFmtId="0" fontId="0" fillId="0" borderId="18" xfId="0" applyBorder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6" xfId="0" applyBorder="1" applyAlignment="1">
      <alignment horizontal="center"/>
    </xf>
    <xf numFmtId="14" fontId="0" fillId="0" borderId="18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0" fillId="34" borderId="16" xfId="0" applyFill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0" fillId="34" borderId="0" xfId="0" applyFill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12" xfId="0" applyFont="1" applyBorder="1"/>
    <xf numFmtId="0" fontId="0" fillId="34" borderId="16" xfId="0" applyFill="1" applyBorder="1"/>
    <xf numFmtId="0" fontId="0" fillId="0" borderId="16" xfId="0" applyBorder="1"/>
    <xf numFmtId="164" fontId="18" fillId="0" borderId="18" xfId="0" applyNumberFormat="1" applyFont="1" applyBorder="1" applyAlignment="1">
      <alignment horizontal="center"/>
    </xf>
    <xf numFmtId="0" fontId="0" fillId="0" borderId="19" xfId="0" applyBorder="1"/>
    <xf numFmtId="2" fontId="0" fillId="0" borderId="2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14" fontId="0" fillId="0" borderId="0" xfId="0" applyNumberFormat="1" applyBorder="1"/>
    <xf numFmtId="1" fontId="0" fillId="0" borderId="14" xfId="0" applyNumberFormat="1" applyBorder="1" applyAlignment="1">
      <alignment horizontal="center"/>
    </xf>
    <xf numFmtId="0" fontId="0" fillId="35" borderId="16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25127-12E8-064F-8C20-E11DC00D6D34}">
  <dimension ref="A1:DJ116"/>
  <sheetViews>
    <sheetView tabSelected="1" topLeftCell="CT1" zoomScaleNormal="100" workbookViewId="0">
      <selection activeCell="CY25" sqref="CY25"/>
    </sheetView>
  </sheetViews>
  <sheetFormatPr baseColWidth="10" defaultRowHeight="16" x14ac:dyDescent="0.2"/>
  <cols>
    <col min="1" max="1" width="17.6640625" bestFit="1" customWidth="1"/>
    <col min="5" max="5" width="16.6640625" bestFit="1" customWidth="1"/>
    <col min="7" max="7" width="17.6640625" bestFit="1" customWidth="1"/>
    <col min="11" max="11" width="17.6640625" bestFit="1" customWidth="1"/>
    <col min="13" max="13" width="17.6640625" bestFit="1" customWidth="1"/>
    <col min="19" max="19" width="17.6640625" bestFit="1" customWidth="1"/>
    <col min="25" max="25" width="17.6640625" bestFit="1" customWidth="1"/>
    <col min="29" max="29" width="15.5" customWidth="1"/>
    <col min="30" max="30" width="17.6640625" bestFit="1" customWidth="1"/>
    <col min="34" max="34" width="15.5" customWidth="1"/>
    <col min="35" max="35" width="17.33203125" bestFit="1" customWidth="1"/>
    <col min="40" max="40" width="17.33203125" bestFit="1" customWidth="1"/>
    <col min="41" max="41" width="8.83203125" bestFit="1" customWidth="1"/>
    <col min="42" max="42" width="11" customWidth="1"/>
    <col min="43" max="43" width="14" bestFit="1" customWidth="1"/>
    <col min="44" max="44" width="16.6640625" bestFit="1" customWidth="1"/>
    <col min="45" max="45" width="17.33203125" bestFit="1" customWidth="1"/>
    <col min="46" max="46" width="8.83203125" style="21" bestFit="1" customWidth="1"/>
    <col min="47" max="47" width="13.6640625" style="21" bestFit="1" customWidth="1"/>
    <col min="48" max="48" width="14" style="21" bestFit="1" customWidth="1"/>
    <col min="49" max="49" width="16.6640625" style="21" bestFit="1" customWidth="1"/>
    <col min="50" max="50" width="17.6640625" bestFit="1" customWidth="1"/>
    <col min="51" max="51" width="10.83203125" style="21"/>
    <col min="52" max="53" width="14.33203125" style="21" customWidth="1"/>
    <col min="54" max="54" width="16" style="21" customWidth="1"/>
    <col min="55" max="55" width="17.6640625" bestFit="1" customWidth="1"/>
    <col min="56" max="56" width="10.83203125" style="21"/>
    <col min="57" max="57" width="13.83203125" style="21" bestFit="1" customWidth="1"/>
    <col min="58" max="58" width="14" style="21" bestFit="1" customWidth="1"/>
    <col min="59" max="59" width="16.83203125" style="21" bestFit="1" customWidth="1"/>
    <col min="60" max="60" width="17.1640625" style="34" customWidth="1"/>
    <col min="61" max="61" width="10.83203125" style="21"/>
    <col min="62" max="62" width="14.1640625" style="21" customWidth="1"/>
    <col min="63" max="63" width="16.33203125" style="21" customWidth="1"/>
    <col min="64" max="64" width="17.33203125" style="21" customWidth="1"/>
    <col min="65" max="65" width="18" customWidth="1"/>
    <col min="70" max="70" width="17.6640625" bestFit="1" customWidth="1"/>
    <col min="75" max="75" width="27" customWidth="1"/>
    <col min="80" max="80" width="23.83203125" customWidth="1"/>
    <col min="82" max="82" width="13.6640625" bestFit="1" customWidth="1"/>
    <col min="83" max="83" width="14" bestFit="1" customWidth="1"/>
    <col min="84" max="84" width="16.6640625" bestFit="1" customWidth="1"/>
    <col min="85" max="85" width="17.6640625" bestFit="1" customWidth="1"/>
    <col min="89" max="89" width="16.83203125" bestFit="1" customWidth="1"/>
    <col min="90" max="90" width="17.6640625" bestFit="1" customWidth="1"/>
    <col min="92" max="92" width="13.6640625" bestFit="1" customWidth="1"/>
    <col min="93" max="93" width="14" bestFit="1" customWidth="1"/>
    <col min="94" max="94" width="16.6640625" bestFit="1" customWidth="1"/>
    <col min="95" max="95" width="19" customWidth="1"/>
    <col min="100" max="100" width="17.6640625" bestFit="1" customWidth="1"/>
    <col min="101" max="101" width="8.83203125" bestFit="1" customWidth="1"/>
    <col min="102" max="102" width="13.83203125" bestFit="1" customWidth="1"/>
    <col min="103" max="103" width="14" bestFit="1" customWidth="1"/>
    <col min="104" max="104" width="16.83203125" bestFit="1" customWidth="1"/>
    <col min="105" max="105" width="17.6640625" bestFit="1" customWidth="1"/>
    <col min="108" max="108" width="17.1640625" bestFit="1" customWidth="1"/>
    <col min="109" max="109" width="15.5" bestFit="1" customWidth="1"/>
    <col min="110" max="110" width="18.5" bestFit="1" customWidth="1"/>
    <col min="111" max="111" width="18.6640625" bestFit="1" customWidth="1"/>
    <col min="112" max="112" width="17" bestFit="1" customWidth="1"/>
    <col min="113" max="113" width="17.1640625" bestFit="1" customWidth="1"/>
  </cols>
  <sheetData>
    <row r="1" spans="1:114" ht="17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0</v>
      </c>
      <c r="H1" s="2" t="s">
        <v>1</v>
      </c>
      <c r="I1" s="2" t="s">
        <v>2</v>
      </c>
      <c r="J1" s="2" t="s">
        <v>3</v>
      </c>
      <c r="K1" s="2" t="s">
        <v>4</v>
      </c>
      <c r="M1" s="2" t="s">
        <v>0</v>
      </c>
      <c r="N1" s="2" t="s">
        <v>1</v>
      </c>
      <c r="O1" s="2" t="s">
        <v>2</v>
      </c>
      <c r="P1" s="2" t="s">
        <v>3</v>
      </c>
      <c r="Q1" s="2" t="s">
        <v>4</v>
      </c>
      <c r="S1" s="2" t="s">
        <v>0</v>
      </c>
      <c r="T1" s="2" t="s">
        <v>1</v>
      </c>
      <c r="U1" s="2" t="s">
        <v>2</v>
      </c>
      <c r="V1" s="2" t="s">
        <v>3</v>
      </c>
      <c r="W1" s="2" t="s">
        <v>4</v>
      </c>
      <c r="Y1" s="2" t="s">
        <v>0</v>
      </c>
      <c r="Z1" s="2" t="s">
        <v>1</v>
      </c>
      <c r="AA1" s="2" t="s">
        <v>2</v>
      </c>
      <c r="AB1" s="2" t="s">
        <v>3</v>
      </c>
      <c r="AC1" s="2" t="s">
        <v>4</v>
      </c>
      <c r="AD1" s="2" t="s">
        <v>0</v>
      </c>
      <c r="AE1" s="2" t="s">
        <v>1</v>
      </c>
      <c r="AF1" s="2" t="s">
        <v>2</v>
      </c>
      <c r="AG1" s="2" t="s">
        <v>3</v>
      </c>
      <c r="AH1" s="2" t="s">
        <v>4</v>
      </c>
      <c r="AI1" s="2" t="s">
        <v>0</v>
      </c>
      <c r="AJ1" s="2" t="s">
        <v>1</v>
      </c>
      <c r="AK1" s="2" t="s">
        <v>2</v>
      </c>
      <c r="AL1" s="2" t="s">
        <v>3</v>
      </c>
      <c r="AM1" s="2" t="s">
        <v>4</v>
      </c>
      <c r="AN1" s="15" t="s">
        <v>0</v>
      </c>
      <c r="AO1" s="16" t="s">
        <v>1</v>
      </c>
      <c r="AP1" s="16" t="s">
        <v>2</v>
      </c>
      <c r="AQ1" s="16" t="s">
        <v>3</v>
      </c>
      <c r="AR1" s="16" t="s">
        <v>4</v>
      </c>
      <c r="AS1" s="15" t="s">
        <v>0</v>
      </c>
      <c r="AT1" s="27" t="s">
        <v>1</v>
      </c>
      <c r="AU1" s="27" t="s">
        <v>2</v>
      </c>
      <c r="AV1" s="27" t="s">
        <v>3</v>
      </c>
      <c r="AW1" s="27" t="s">
        <v>4</v>
      </c>
      <c r="AX1" s="32" t="s">
        <v>0</v>
      </c>
      <c r="AY1" s="27" t="s">
        <v>1</v>
      </c>
      <c r="AZ1" s="27" t="s">
        <v>2</v>
      </c>
      <c r="BA1" s="27" t="s">
        <v>3</v>
      </c>
      <c r="BB1" s="28" t="s">
        <v>4</v>
      </c>
      <c r="BC1" s="2" t="s">
        <v>0</v>
      </c>
      <c r="BD1" s="33" t="s">
        <v>1</v>
      </c>
      <c r="BE1" s="33" t="s">
        <v>2</v>
      </c>
      <c r="BF1" s="33" t="s">
        <v>3</v>
      </c>
      <c r="BG1" s="33" t="s">
        <v>4</v>
      </c>
      <c r="BH1" s="37" t="s">
        <v>0</v>
      </c>
      <c r="BI1" s="27" t="s">
        <v>1</v>
      </c>
      <c r="BJ1" s="27" t="s">
        <v>2</v>
      </c>
      <c r="BK1" s="27" t="s">
        <v>3</v>
      </c>
      <c r="BL1" s="27" t="s">
        <v>4</v>
      </c>
      <c r="BM1" s="15" t="s">
        <v>0</v>
      </c>
      <c r="BN1" s="16" t="s">
        <v>1</v>
      </c>
      <c r="BO1" s="16" t="s">
        <v>2</v>
      </c>
      <c r="BP1" s="16" t="s">
        <v>3</v>
      </c>
      <c r="BQ1" s="38" t="s">
        <v>4</v>
      </c>
      <c r="BR1" s="15" t="s">
        <v>0</v>
      </c>
      <c r="BS1" s="16" t="s">
        <v>1</v>
      </c>
      <c r="BT1" s="16" t="s">
        <v>2</v>
      </c>
      <c r="BU1" s="16" t="s">
        <v>3</v>
      </c>
      <c r="BV1" s="38" t="s">
        <v>4</v>
      </c>
      <c r="BW1" s="15" t="s">
        <v>0</v>
      </c>
      <c r="BX1" s="16" t="s">
        <v>1</v>
      </c>
      <c r="BY1" s="16" t="s">
        <v>2</v>
      </c>
      <c r="BZ1" s="16" t="s">
        <v>3</v>
      </c>
      <c r="CA1" s="38" t="s">
        <v>4</v>
      </c>
      <c r="CB1" s="15" t="s">
        <v>0</v>
      </c>
      <c r="CC1" s="16" t="s">
        <v>1</v>
      </c>
      <c r="CD1" s="16" t="s">
        <v>2</v>
      </c>
      <c r="CE1" s="16" t="s">
        <v>3</v>
      </c>
      <c r="CF1" s="38" t="s">
        <v>4</v>
      </c>
      <c r="CG1" s="15" t="s">
        <v>0</v>
      </c>
      <c r="CH1" s="16" t="s">
        <v>1</v>
      </c>
      <c r="CI1" s="16" t="s">
        <v>2</v>
      </c>
      <c r="CJ1" s="16" t="s">
        <v>3</v>
      </c>
      <c r="CK1" s="38" t="s">
        <v>4</v>
      </c>
      <c r="CL1" s="15" t="s">
        <v>0</v>
      </c>
      <c r="CM1" s="16" t="s">
        <v>1</v>
      </c>
      <c r="CN1" s="16" t="s">
        <v>2</v>
      </c>
      <c r="CO1" s="16" t="s">
        <v>3</v>
      </c>
      <c r="CP1" s="38" t="s">
        <v>4</v>
      </c>
      <c r="CQ1" s="15" t="s">
        <v>0</v>
      </c>
      <c r="CR1" s="16" t="s">
        <v>1</v>
      </c>
      <c r="CS1" s="16" t="s">
        <v>2</v>
      </c>
      <c r="CT1" s="16" t="s">
        <v>3</v>
      </c>
      <c r="CU1" s="38" t="s">
        <v>4</v>
      </c>
      <c r="CV1" s="15" t="s">
        <v>0</v>
      </c>
      <c r="CW1" s="16" t="s">
        <v>1</v>
      </c>
      <c r="CX1" s="16" t="s">
        <v>2</v>
      </c>
      <c r="CY1" s="16" t="s">
        <v>3</v>
      </c>
      <c r="CZ1" s="38" t="s">
        <v>4</v>
      </c>
      <c r="DB1" s="6" t="s">
        <v>36</v>
      </c>
      <c r="DC1" s="8" t="s">
        <v>37</v>
      </c>
      <c r="DD1" s="6" t="s">
        <v>38</v>
      </c>
      <c r="DE1" s="8" t="s">
        <v>39</v>
      </c>
      <c r="DF1" s="6" t="s">
        <v>40</v>
      </c>
      <c r="DG1" s="8" t="s">
        <v>41</v>
      </c>
      <c r="DH1" s="7" t="s">
        <v>42</v>
      </c>
      <c r="DI1" s="8" t="s">
        <v>43</v>
      </c>
    </row>
    <row r="2" spans="1:114" ht="17" thickBot="1" x14ac:dyDescent="0.25">
      <c r="A2" t="s">
        <v>32</v>
      </c>
      <c r="B2" s="1">
        <v>45505</v>
      </c>
      <c r="C2">
        <v>539</v>
      </c>
      <c r="D2">
        <v>471</v>
      </c>
      <c r="E2">
        <v>-12.6159554730983</v>
      </c>
      <c r="G2" t="s">
        <v>32</v>
      </c>
      <c r="H2" s="1">
        <v>45512</v>
      </c>
      <c r="I2">
        <v>511.25</v>
      </c>
      <c r="J2">
        <v>454.5</v>
      </c>
      <c r="K2">
        <v>-11.100244498777499</v>
      </c>
      <c r="M2" t="s">
        <v>32</v>
      </c>
      <c r="N2" s="1">
        <v>45517</v>
      </c>
      <c r="O2">
        <v>527.5</v>
      </c>
      <c r="P2">
        <v>472.25</v>
      </c>
      <c r="Q2">
        <v>-10.4739336492891</v>
      </c>
      <c r="S2" t="s">
        <v>32</v>
      </c>
      <c r="T2" s="1">
        <v>45522</v>
      </c>
      <c r="U2">
        <v>534</v>
      </c>
      <c r="V2">
        <v>494</v>
      </c>
      <c r="W2">
        <v>-7.4906367041198401</v>
      </c>
      <c r="AN2" s="17" t="s">
        <v>32</v>
      </c>
      <c r="AO2" s="1">
        <v>45551</v>
      </c>
      <c r="AP2">
        <v>520.5</v>
      </c>
      <c r="AQ2">
        <v>446</v>
      </c>
      <c r="AR2">
        <v>-14.313160422670499</v>
      </c>
      <c r="AS2" s="17" t="s">
        <v>32</v>
      </c>
      <c r="AT2" s="22">
        <v>45558</v>
      </c>
      <c r="AU2" s="21">
        <v>488</v>
      </c>
      <c r="AV2" s="21">
        <v>401.5</v>
      </c>
      <c r="AW2" s="31">
        <v>-17.725409836065499</v>
      </c>
      <c r="AX2" s="17" t="s">
        <v>32</v>
      </c>
      <c r="AY2" s="22">
        <v>45565</v>
      </c>
      <c r="AZ2" s="21">
        <v>497.5</v>
      </c>
      <c r="BA2" s="21">
        <v>412</v>
      </c>
      <c r="BB2" s="29">
        <v>-17.185929648241199</v>
      </c>
      <c r="BC2" t="s">
        <v>32</v>
      </c>
      <c r="BD2" s="22">
        <v>45572</v>
      </c>
      <c r="BE2" s="21">
        <v>497</v>
      </c>
      <c r="BF2" s="21">
        <v>405.75</v>
      </c>
      <c r="BG2" s="31">
        <v>-18.360160965794702</v>
      </c>
      <c r="BH2" s="35" t="s">
        <v>32</v>
      </c>
      <c r="BI2" s="22">
        <v>45579</v>
      </c>
      <c r="BJ2" s="21">
        <v>463.5</v>
      </c>
      <c r="BK2" s="21">
        <v>419.75</v>
      </c>
      <c r="BL2" s="21">
        <v>-9.4390507011866198</v>
      </c>
      <c r="BM2" s="17" t="s">
        <v>32</v>
      </c>
      <c r="BN2" s="1">
        <v>45586</v>
      </c>
      <c r="BO2">
        <v>547.5</v>
      </c>
      <c r="BP2">
        <v>400</v>
      </c>
      <c r="BQ2" s="39">
        <v>-26.940639269406301</v>
      </c>
      <c r="BR2" s="17" t="s">
        <v>32</v>
      </c>
      <c r="BS2" s="1">
        <v>45593</v>
      </c>
      <c r="BT2">
        <v>598.25</v>
      </c>
      <c r="BU2">
        <v>467</v>
      </c>
      <c r="BV2" s="39">
        <v>-21.938988717091501</v>
      </c>
      <c r="BW2" s="17" t="s">
        <v>32</v>
      </c>
      <c r="BX2" s="1">
        <v>45600</v>
      </c>
      <c r="BY2">
        <v>519</v>
      </c>
      <c r="BZ2">
        <v>414</v>
      </c>
      <c r="CA2" s="40">
        <v>-20.231213872832299</v>
      </c>
      <c r="CB2" s="17" t="s">
        <v>32</v>
      </c>
      <c r="CC2" s="1">
        <v>45607</v>
      </c>
      <c r="CD2">
        <v>514.25</v>
      </c>
      <c r="CE2">
        <v>442.75</v>
      </c>
      <c r="CF2" s="40">
        <v>-13.903743315508001</v>
      </c>
      <c r="CG2" s="17" t="s">
        <v>32</v>
      </c>
      <c r="CH2" s="1">
        <v>45614</v>
      </c>
      <c r="CI2">
        <v>527.5</v>
      </c>
      <c r="CJ2">
        <v>477.25</v>
      </c>
      <c r="CK2" s="40">
        <v>-9.5260663507109005</v>
      </c>
      <c r="CL2" s="17" t="s">
        <v>32</v>
      </c>
      <c r="CM2" s="1">
        <v>45621</v>
      </c>
      <c r="CN2">
        <v>566.25</v>
      </c>
      <c r="CO2">
        <v>480.75</v>
      </c>
      <c r="CP2" s="40">
        <v>-15.099337748344301</v>
      </c>
      <c r="CQ2" s="17" t="s">
        <v>32</v>
      </c>
      <c r="CR2" s="1">
        <v>45628</v>
      </c>
      <c r="CS2">
        <v>517.5</v>
      </c>
      <c r="CT2">
        <v>462.75</v>
      </c>
      <c r="CU2" s="40">
        <v>-10.5797101449275</v>
      </c>
      <c r="CV2" s="17" t="s">
        <v>32</v>
      </c>
      <c r="CW2" s="47">
        <v>45635</v>
      </c>
      <c r="CX2" s="46">
        <v>552.75</v>
      </c>
      <c r="CY2" s="46">
        <v>482</v>
      </c>
      <c r="CZ2" s="40">
        <v>-12.799638172772401</v>
      </c>
      <c r="DA2" s="9" t="s">
        <v>32</v>
      </c>
      <c r="DB2" s="11">
        <f>AVERAGE(C2,I2,O2,U2,AA2,AF2,AP2,AU2,AZ2,BE2,BJ2,BO2,BT2,BY2,CD2,CI2,CN2,CS2,CX2)</f>
        <v>524.77941176470586</v>
      </c>
      <c r="DC2" s="11">
        <f>AVERAGE(D2,J2,P2,V2,AB2,AG2,AQ2,AV2,BA2,BF2,BK2,BP2,BU2,BZ2,CE2,CJ2,CO2,CT2,CY2)</f>
        <v>447.25</v>
      </c>
      <c r="DD2" s="12">
        <f>(CX2-DB2)/CX2</f>
        <v>5.0602601963444856E-2</v>
      </c>
      <c r="DE2" s="12">
        <f>(CY2-DC2)/CY2</f>
        <v>7.2095435684647297E-2</v>
      </c>
      <c r="DF2" s="12">
        <f>(CX2-CS2)/CX2</f>
        <v>6.3772048846675713E-2</v>
      </c>
      <c r="DG2" s="12">
        <f>(CY2-CT2)/CY2</f>
        <v>3.9937759336099582E-2</v>
      </c>
      <c r="DH2" s="12">
        <f>(AZ2-C2)/AZ2</f>
        <v>-8.3417085427135676E-2</v>
      </c>
      <c r="DI2" s="30">
        <f>(BA2-D2)/BA2</f>
        <v>-0.14320388349514562</v>
      </c>
    </row>
    <row r="3" spans="1:114" ht="17" thickBot="1" x14ac:dyDescent="0.25">
      <c r="G3" t="s">
        <v>21</v>
      </c>
      <c r="H3" s="1">
        <v>45512</v>
      </c>
      <c r="I3">
        <v>431.5</v>
      </c>
      <c r="J3">
        <v>436.75</v>
      </c>
      <c r="K3">
        <v>1.2020606754436101</v>
      </c>
      <c r="M3" t="s">
        <v>21</v>
      </c>
      <c r="N3" s="1">
        <v>45517</v>
      </c>
      <c r="O3">
        <v>467.75</v>
      </c>
      <c r="P3">
        <v>443.25</v>
      </c>
      <c r="Q3">
        <v>-5.2378407268840199</v>
      </c>
      <c r="S3" t="s">
        <v>21</v>
      </c>
      <c r="T3" s="1">
        <v>45522</v>
      </c>
      <c r="U3">
        <v>435.75</v>
      </c>
      <c r="V3">
        <v>426.25</v>
      </c>
      <c r="W3">
        <v>-2.1801491681009701</v>
      </c>
      <c r="Y3" t="s">
        <v>21</v>
      </c>
      <c r="Z3" s="1">
        <v>45530</v>
      </c>
      <c r="AA3">
        <v>417.75</v>
      </c>
      <c r="AB3">
        <v>371.75</v>
      </c>
      <c r="AC3">
        <v>-11.0113704368641</v>
      </c>
      <c r="AD3" t="s">
        <v>21</v>
      </c>
      <c r="AE3" s="1">
        <v>45537</v>
      </c>
      <c r="AF3">
        <v>393</v>
      </c>
      <c r="AG3">
        <v>372.25</v>
      </c>
      <c r="AH3">
        <v>-5.2798982188295103</v>
      </c>
      <c r="AI3" t="s">
        <v>21</v>
      </c>
      <c r="AJ3" s="1">
        <v>45544</v>
      </c>
      <c r="AK3">
        <v>419</v>
      </c>
      <c r="AL3">
        <v>417.5</v>
      </c>
      <c r="AM3">
        <v>-0.35799522673031198</v>
      </c>
      <c r="AN3" s="17" t="s">
        <v>21</v>
      </c>
      <c r="AO3" s="1">
        <v>45551</v>
      </c>
      <c r="AP3">
        <v>406.5</v>
      </c>
      <c r="AQ3">
        <v>422.5</v>
      </c>
      <c r="AR3">
        <v>3.7869822485207001</v>
      </c>
      <c r="AS3" s="17" t="s">
        <v>21</v>
      </c>
      <c r="AT3" s="22">
        <v>45558</v>
      </c>
      <c r="AU3" s="21">
        <v>407</v>
      </c>
      <c r="AV3" s="21">
        <v>416</v>
      </c>
      <c r="AW3" s="21">
        <v>2.1634615384615401</v>
      </c>
      <c r="AX3" s="17" t="s">
        <v>21</v>
      </c>
      <c r="AY3" s="22">
        <v>45565</v>
      </c>
      <c r="AZ3" s="21">
        <v>420.75</v>
      </c>
      <c r="BA3" s="21">
        <v>390.75</v>
      </c>
      <c r="BB3" s="23">
        <v>-7.1301247771835996</v>
      </c>
      <c r="BC3" t="s">
        <v>21</v>
      </c>
      <c r="BD3" s="22">
        <v>45572</v>
      </c>
      <c r="BE3" s="21">
        <v>429.5</v>
      </c>
      <c r="BF3" s="21">
        <v>379.5</v>
      </c>
      <c r="BG3" s="21">
        <v>-11.6414435389988</v>
      </c>
      <c r="BH3" s="35" t="s">
        <v>21</v>
      </c>
      <c r="BI3" s="22">
        <v>45579</v>
      </c>
      <c r="BJ3" s="21">
        <v>417.5</v>
      </c>
      <c r="BK3" s="21">
        <v>374</v>
      </c>
      <c r="BL3" s="21">
        <v>-10.4191616766467</v>
      </c>
      <c r="BM3" s="17"/>
      <c r="BN3" s="1"/>
      <c r="BQ3" s="40"/>
      <c r="BR3" s="17" t="s">
        <v>21</v>
      </c>
      <c r="BS3" s="1">
        <v>45593</v>
      </c>
      <c r="BT3">
        <v>423.5</v>
      </c>
      <c r="BU3">
        <v>376</v>
      </c>
      <c r="BV3" s="40">
        <v>-11.2160566706021</v>
      </c>
      <c r="BW3" s="17" t="s">
        <v>21</v>
      </c>
      <c r="BX3" s="1">
        <v>45600</v>
      </c>
      <c r="BY3">
        <v>437.25</v>
      </c>
      <c r="BZ3">
        <v>414.75</v>
      </c>
      <c r="CA3" s="40">
        <v>-5.1457975986277802</v>
      </c>
      <c r="CB3" s="17" t="s">
        <v>21</v>
      </c>
      <c r="CC3" s="1">
        <v>45607</v>
      </c>
      <c r="CD3">
        <v>454.75</v>
      </c>
      <c r="CE3">
        <v>436.5</v>
      </c>
      <c r="CF3" s="40">
        <v>-4.0131940626717899</v>
      </c>
      <c r="CG3" s="17" t="s">
        <v>21</v>
      </c>
      <c r="CH3" s="1">
        <v>45614</v>
      </c>
      <c r="CI3">
        <v>440</v>
      </c>
      <c r="CJ3">
        <v>448.5</v>
      </c>
      <c r="CK3" s="40">
        <v>1.89520624303233</v>
      </c>
      <c r="CL3" s="17"/>
      <c r="CP3" s="40"/>
      <c r="CQ3" s="17" t="s">
        <v>21</v>
      </c>
      <c r="CR3" s="1">
        <v>45628</v>
      </c>
      <c r="CS3">
        <v>419.25</v>
      </c>
      <c r="CT3">
        <v>410.5</v>
      </c>
      <c r="CU3" s="40">
        <v>-2.0870602265951002</v>
      </c>
      <c r="CV3" s="17" t="s">
        <v>21</v>
      </c>
      <c r="CW3" s="47">
        <v>45635</v>
      </c>
      <c r="CX3" s="46">
        <v>431.25</v>
      </c>
      <c r="CY3" s="46">
        <v>408.25</v>
      </c>
      <c r="CZ3" s="40">
        <v>-5.3333333333333304</v>
      </c>
      <c r="DA3" s="9" t="s">
        <v>21</v>
      </c>
      <c r="DB3" s="11">
        <f t="shared" ref="DB3:DB35" si="0">AVERAGE(C3,I3,O3,U3,AA3,AF3,AP3,AU3,AZ3,BE3,BJ3,BO3,BT3,BY3,CD3,CI3,CN3,CS3,CX3)</f>
        <v>427.0625</v>
      </c>
      <c r="DC3" s="11">
        <f t="shared" ref="DC3:DC35" si="1">AVERAGE(D3,J3,P3,V3,AB3,AG3,AQ3,AV3,BA3,BF3,BK3,BP3,BU3,BZ3,CE3,CJ3,CO3,CT3,CY3)</f>
        <v>407.96875</v>
      </c>
      <c r="DD3" s="12">
        <f t="shared" ref="DD3:DD35" si="2">(CX3-DB3)/CX3</f>
        <v>9.7101449275362323E-3</v>
      </c>
      <c r="DE3" s="12">
        <f t="shared" ref="DE3:DE35" si="3">(CY3-DC3)/CY3</f>
        <v>6.8891610532761786E-4</v>
      </c>
      <c r="DF3" s="12">
        <f t="shared" ref="DF3:DF35" si="4">(CX3-CS3)/CX3</f>
        <v>2.782608695652174E-2</v>
      </c>
      <c r="DG3" s="12">
        <f t="shared" ref="DG3:DG35" si="5">(CY3-CT3)/CY3</f>
        <v>-5.5113288426209429E-3</v>
      </c>
      <c r="DH3" s="12">
        <f t="shared" ref="DH3:DI5" si="6">(AZ3-I3)/AZ3</f>
        <v>-2.5549613784907901E-2</v>
      </c>
      <c r="DI3" s="12">
        <f t="shared" si="6"/>
        <v>-0.11772232885476648</v>
      </c>
    </row>
    <row r="4" spans="1:114" ht="17" thickBot="1" x14ac:dyDescent="0.25">
      <c r="G4" t="s">
        <v>28</v>
      </c>
      <c r="H4" s="1">
        <v>45512</v>
      </c>
      <c r="I4">
        <v>361.75</v>
      </c>
      <c r="J4">
        <v>329.25</v>
      </c>
      <c r="K4">
        <v>-8.9841050449205202</v>
      </c>
      <c r="M4" t="s">
        <v>28</v>
      </c>
      <c r="N4" s="1">
        <v>45517</v>
      </c>
      <c r="O4">
        <v>318.25</v>
      </c>
      <c r="P4">
        <v>346.75</v>
      </c>
      <c r="Q4">
        <v>8.2191780821917799</v>
      </c>
      <c r="S4" t="s">
        <v>28</v>
      </c>
      <c r="T4" s="1">
        <v>45522</v>
      </c>
      <c r="U4">
        <v>264.75</v>
      </c>
      <c r="V4">
        <v>303.5</v>
      </c>
      <c r="W4">
        <v>12.7677100494233</v>
      </c>
      <c r="AD4" t="s">
        <v>28</v>
      </c>
      <c r="AE4" s="1">
        <v>45537</v>
      </c>
      <c r="AF4">
        <v>290.25</v>
      </c>
      <c r="AG4">
        <v>328</v>
      </c>
      <c r="AH4">
        <v>11.509146341463399</v>
      </c>
      <c r="AI4" t="s">
        <v>28</v>
      </c>
      <c r="AJ4" s="1">
        <v>45544</v>
      </c>
      <c r="AK4">
        <v>354.75</v>
      </c>
      <c r="AL4">
        <v>366.75</v>
      </c>
      <c r="AM4">
        <v>3.2719836400817899</v>
      </c>
      <c r="AN4" s="17" t="s">
        <v>28</v>
      </c>
      <c r="AO4" s="1">
        <v>45551</v>
      </c>
      <c r="AP4">
        <v>315.75</v>
      </c>
      <c r="AQ4">
        <v>303</v>
      </c>
      <c r="AR4">
        <v>-4.0380047505938199</v>
      </c>
      <c r="AS4" s="17" t="s">
        <v>28</v>
      </c>
      <c r="AT4" s="22">
        <v>45558</v>
      </c>
      <c r="AU4" s="21">
        <v>319.25</v>
      </c>
      <c r="AV4" s="21">
        <v>312</v>
      </c>
      <c r="AW4" s="21">
        <v>-2.27094753328113</v>
      </c>
      <c r="AX4" s="17" t="s">
        <v>28</v>
      </c>
      <c r="AY4" s="22">
        <v>45565</v>
      </c>
      <c r="AZ4" s="21">
        <v>350.75</v>
      </c>
      <c r="BA4" s="21">
        <v>306.25</v>
      </c>
      <c r="BB4" s="23">
        <v>-12.6870990734141</v>
      </c>
      <c r="BC4" t="s">
        <v>28</v>
      </c>
      <c r="BD4" s="22">
        <v>45572</v>
      </c>
      <c r="BE4" s="21">
        <v>310.25</v>
      </c>
      <c r="BF4" s="21">
        <v>295.75</v>
      </c>
      <c r="BG4" s="21">
        <v>-4.6736502820306098</v>
      </c>
      <c r="BH4" s="35" t="s">
        <v>28</v>
      </c>
      <c r="BI4" s="22">
        <v>45579</v>
      </c>
      <c r="BJ4" s="21">
        <v>366</v>
      </c>
      <c r="BK4" s="21">
        <v>339.25</v>
      </c>
      <c r="BL4" s="21">
        <v>-7.3087431693989098</v>
      </c>
      <c r="BM4" s="17" t="s">
        <v>28</v>
      </c>
      <c r="BN4" s="1">
        <v>45586</v>
      </c>
      <c r="BO4">
        <v>338.75</v>
      </c>
      <c r="BP4">
        <v>337.5</v>
      </c>
      <c r="BQ4" s="40">
        <v>-0.36900369003689498</v>
      </c>
      <c r="BR4" s="17" t="s">
        <v>28</v>
      </c>
      <c r="BS4" s="1">
        <v>45593</v>
      </c>
      <c r="BT4">
        <v>393</v>
      </c>
      <c r="BU4">
        <v>320.5</v>
      </c>
      <c r="BV4" s="39">
        <v>-18.447837150127199</v>
      </c>
      <c r="BW4" s="17" t="s">
        <v>28</v>
      </c>
      <c r="BX4" s="1">
        <v>45600</v>
      </c>
      <c r="BY4">
        <v>369</v>
      </c>
      <c r="BZ4">
        <v>327.75</v>
      </c>
      <c r="CA4" s="40">
        <v>-11.1788617886178</v>
      </c>
      <c r="CB4" s="17" t="s">
        <v>28</v>
      </c>
      <c r="CC4" s="1">
        <v>45607</v>
      </c>
      <c r="CD4">
        <v>316.5</v>
      </c>
      <c r="CE4">
        <v>220</v>
      </c>
      <c r="CF4" s="40">
        <v>-30.489731437598699</v>
      </c>
      <c r="CG4" s="17" t="s">
        <v>28</v>
      </c>
      <c r="CH4" s="1">
        <v>45614</v>
      </c>
      <c r="CI4">
        <v>314</v>
      </c>
      <c r="CJ4">
        <v>281</v>
      </c>
      <c r="CK4" s="40">
        <v>-10.5095541401273</v>
      </c>
      <c r="CL4" s="17" t="s">
        <v>28</v>
      </c>
      <c r="CM4" s="1">
        <v>45621</v>
      </c>
      <c r="CN4">
        <v>287.75</v>
      </c>
      <c r="CO4">
        <v>266.5</v>
      </c>
      <c r="CP4" s="40">
        <v>-7.3848827106863499</v>
      </c>
      <c r="CQ4" s="17" t="s">
        <v>28</v>
      </c>
      <c r="CR4" s="1">
        <v>45628</v>
      </c>
      <c r="CS4">
        <v>294</v>
      </c>
      <c r="CT4">
        <v>242.75</v>
      </c>
      <c r="CU4" s="40">
        <v>-17.431972789115601</v>
      </c>
      <c r="CV4" s="17"/>
      <c r="CW4" s="46"/>
      <c r="CX4" s="46"/>
      <c r="CY4" s="46"/>
      <c r="CZ4" s="40"/>
      <c r="DA4" s="9" t="s">
        <v>28</v>
      </c>
      <c r="DB4" s="11">
        <f t="shared" si="0"/>
        <v>325.625</v>
      </c>
      <c r="DC4" s="11">
        <f t="shared" si="1"/>
        <v>303.734375</v>
      </c>
      <c r="DD4" s="12" t="e">
        <f t="shared" si="2"/>
        <v>#DIV/0!</v>
      </c>
      <c r="DE4" s="12" t="e">
        <f t="shared" si="3"/>
        <v>#DIV/0!</v>
      </c>
      <c r="DF4" s="12" t="e">
        <f t="shared" si="4"/>
        <v>#DIV/0!</v>
      </c>
      <c r="DG4" s="12" t="e">
        <f t="shared" si="5"/>
        <v>#DIV/0!</v>
      </c>
      <c r="DH4" s="12">
        <f t="shared" si="6"/>
        <v>-3.1361368496079831E-2</v>
      </c>
      <c r="DI4" s="12">
        <f t="shared" si="6"/>
        <v>-7.5102040816326529E-2</v>
      </c>
    </row>
    <row r="5" spans="1:114" ht="17" thickBot="1" x14ac:dyDescent="0.25">
      <c r="G5" t="s">
        <v>8</v>
      </c>
      <c r="H5" s="1">
        <v>45512</v>
      </c>
      <c r="I5">
        <v>411.75</v>
      </c>
      <c r="J5">
        <v>384.5</v>
      </c>
      <c r="K5">
        <v>-6.6180935033394004</v>
      </c>
      <c r="M5" t="s">
        <v>8</v>
      </c>
      <c r="N5" s="1">
        <v>45517</v>
      </c>
      <c r="O5">
        <v>397.5</v>
      </c>
      <c r="P5">
        <v>380.5</v>
      </c>
      <c r="Q5">
        <v>-4.2767295597484196</v>
      </c>
      <c r="S5" t="s">
        <v>8</v>
      </c>
      <c r="T5" s="1">
        <v>45522</v>
      </c>
      <c r="U5">
        <v>396.75</v>
      </c>
      <c r="V5">
        <v>422</v>
      </c>
      <c r="W5">
        <v>5.9834123222748801</v>
      </c>
      <c r="Y5" t="s">
        <v>8</v>
      </c>
      <c r="Z5" s="1">
        <v>45530</v>
      </c>
      <c r="AA5">
        <v>434.25</v>
      </c>
      <c r="AB5">
        <v>405</v>
      </c>
      <c r="AC5">
        <v>-6.7357512953367804</v>
      </c>
      <c r="AD5" t="s">
        <v>8</v>
      </c>
      <c r="AE5" s="1">
        <v>45537</v>
      </c>
      <c r="AF5">
        <v>416.25</v>
      </c>
      <c r="AG5">
        <v>372.25</v>
      </c>
      <c r="AH5">
        <v>-10.570570570570499</v>
      </c>
      <c r="AI5" t="s">
        <v>8</v>
      </c>
      <c r="AJ5" s="1">
        <v>45544</v>
      </c>
      <c r="AK5">
        <v>329.25</v>
      </c>
      <c r="AL5">
        <v>376</v>
      </c>
      <c r="AM5">
        <v>12.4335106382978</v>
      </c>
      <c r="AN5" s="17" t="s">
        <v>8</v>
      </c>
      <c r="AO5" s="1">
        <v>45551</v>
      </c>
      <c r="AP5">
        <v>330.25</v>
      </c>
      <c r="AQ5">
        <v>365.5</v>
      </c>
      <c r="AR5">
        <v>9.6443228454172392</v>
      </c>
      <c r="AS5" s="17" t="s">
        <v>8</v>
      </c>
      <c r="AT5" s="22">
        <v>45558</v>
      </c>
      <c r="AU5" s="21">
        <v>389.25</v>
      </c>
      <c r="AV5" s="21">
        <v>396.75</v>
      </c>
      <c r="AW5" s="21">
        <v>1.89035916824196</v>
      </c>
      <c r="AX5" s="17" t="s">
        <v>8</v>
      </c>
      <c r="AY5" s="22">
        <v>45565</v>
      </c>
      <c r="AZ5" s="21">
        <v>349.25</v>
      </c>
      <c r="BA5" s="21">
        <v>420.75</v>
      </c>
      <c r="BB5" s="29">
        <v>16.9934640522875</v>
      </c>
      <c r="BC5" t="s">
        <v>8</v>
      </c>
      <c r="BD5" s="22">
        <v>45572</v>
      </c>
      <c r="BE5" s="21">
        <v>387.25</v>
      </c>
      <c r="BF5" s="21">
        <v>374.75</v>
      </c>
      <c r="BG5" s="21">
        <v>-3.2278889606197501</v>
      </c>
      <c r="BH5" s="35" t="s">
        <v>8</v>
      </c>
      <c r="BI5" s="22">
        <v>45579</v>
      </c>
      <c r="BJ5" s="21">
        <v>333.75</v>
      </c>
      <c r="BK5" s="21">
        <v>401</v>
      </c>
      <c r="BL5" s="31">
        <v>16.7705735660847</v>
      </c>
      <c r="BM5" s="17" t="s">
        <v>8</v>
      </c>
      <c r="BN5" s="1">
        <v>45586</v>
      </c>
      <c r="BO5">
        <v>444</v>
      </c>
      <c r="BP5">
        <v>406</v>
      </c>
      <c r="BQ5" s="40">
        <v>-8.5585585585585502</v>
      </c>
      <c r="BR5" s="17" t="s">
        <v>8</v>
      </c>
      <c r="BS5" s="1">
        <v>45593</v>
      </c>
      <c r="BT5">
        <v>400.5</v>
      </c>
      <c r="BU5">
        <v>409</v>
      </c>
      <c r="BV5" s="40">
        <v>2.0782396088019501</v>
      </c>
      <c r="BW5" s="17" t="s">
        <v>8</v>
      </c>
      <c r="BX5" s="1">
        <v>45600</v>
      </c>
      <c r="BY5">
        <v>409.5</v>
      </c>
      <c r="BZ5">
        <v>457</v>
      </c>
      <c r="CA5" s="40">
        <v>10.3938730853391</v>
      </c>
      <c r="CB5" s="17" t="s">
        <v>8</v>
      </c>
      <c r="CC5" s="1">
        <v>45607</v>
      </c>
      <c r="CD5">
        <v>436.75</v>
      </c>
      <c r="CE5">
        <v>529</v>
      </c>
      <c r="CF5" s="39">
        <v>17.438563327032099</v>
      </c>
      <c r="CG5" s="17" t="s">
        <v>8</v>
      </c>
      <c r="CH5" s="1">
        <v>45614</v>
      </c>
      <c r="CI5">
        <v>423.25</v>
      </c>
      <c r="CJ5">
        <v>428.75</v>
      </c>
      <c r="CK5" s="40">
        <v>1.28279883381924</v>
      </c>
      <c r="CL5" s="17" t="s">
        <v>8</v>
      </c>
      <c r="CM5" s="1">
        <v>45621</v>
      </c>
      <c r="CN5">
        <v>417</v>
      </c>
      <c r="CO5">
        <v>455.25</v>
      </c>
      <c r="CP5" s="40">
        <v>8.4019769357495893</v>
      </c>
      <c r="CQ5" s="17" t="s">
        <v>8</v>
      </c>
      <c r="CR5" s="1">
        <v>45628</v>
      </c>
      <c r="CS5">
        <v>484.25</v>
      </c>
      <c r="CT5">
        <v>422.5</v>
      </c>
      <c r="CU5" s="40">
        <v>-12.7516778523489</v>
      </c>
      <c r="CV5" s="17" t="s">
        <v>8</v>
      </c>
      <c r="CW5" s="47">
        <v>45635</v>
      </c>
      <c r="CX5" s="46">
        <v>469.75</v>
      </c>
      <c r="CY5" s="46">
        <v>441.25</v>
      </c>
      <c r="CZ5" s="40">
        <v>-6.0670569451836096</v>
      </c>
      <c r="DA5" s="9" t="s">
        <v>8</v>
      </c>
      <c r="DB5" s="11">
        <f t="shared" si="0"/>
        <v>407.29166666666669</v>
      </c>
      <c r="DC5" s="11">
        <f t="shared" si="1"/>
        <v>415.09722222222223</v>
      </c>
      <c r="DD5" s="12">
        <f t="shared" si="2"/>
        <v>0.13296079474897993</v>
      </c>
      <c r="DE5" s="12">
        <f t="shared" si="3"/>
        <v>5.9269751337739991E-2</v>
      </c>
      <c r="DF5" s="12">
        <f t="shared" si="4"/>
        <v>-3.0867482703565728E-2</v>
      </c>
      <c r="DG5" s="12">
        <f t="shared" si="5"/>
        <v>4.2492917847025496E-2</v>
      </c>
      <c r="DH5" s="12">
        <f t="shared" si="6"/>
        <v>-0.17895490336435219</v>
      </c>
      <c r="DI5" s="12">
        <f t="shared" si="6"/>
        <v>8.6155674390968509E-2</v>
      </c>
    </row>
    <row r="6" spans="1:114" ht="17" thickBot="1" x14ac:dyDescent="0.25">
      <c r="A6" t="s">
        <v>29</v>
      </c>
      <c r="B6" s="1">
        <v>45505</v>
      </c>
      <c r="C6">
        <v>350</v>
      </c>
      <c r="D6">
        <v>321.25</v>
      </c>
      <c r="E6">
        <v>-8.21428571428571</v>
      </c>
      <c r="S6" t="s">
        <v>29</v>
      </c>
      <c r="T6" s="1">
        <v>45518</v>
      </c>
      <c r="U6">
        <v>342.75</v>
      </c>
      <c r="V6">
        <v>301.5</v>
      </c>
      <c r="W6">
        <v>-12.035010940918999</v>
      </c>
      <c r="AD6" t="s">
        <v>29</v>
      </c>
      <c r="AE6" s="1">
        <v>45537</v>
      </c>
      <c r="AF6">
        <v>382</v>
      </c>
      <c r="AG6">
        <v>325.25</v>
      </c>
      <c r="AH6">
        <v>-14.8560209424083</v>
      </c>
      <c r="AI6" t="s">
        <v>29</v>
      </c>
      <c r="AJ6" s="1">
        <v>45544</v>
      </c>
      <c r="AK6">
        <v>395.5</v>
      </c>
      <c r="AL6">
        <v>352.5</v>
      </c>
      <c r="AM6">
        <v>-10.872313527180699</v>
      </c>
      <c r="AN6" s="17" t="s">
        <v>29</v>
      </c>
      <c r="AO6" s="1">
        <v>45551</v>
      </c>
      <c r="AP6">
        <v>377.25</v>
      </c>
      <c r="AQ6">
        <v>344.75</v>
      </c>
      <c r="AR6">
        <v>-8.6149768058316702</v>
      </c>
      <c r="AS6" s="17" t="s">
        <v>29</v>
      </c>
      <c r="AT6" s="22">
        <v>45558</v>
      </c>
      <c r="AU6" s="21">
        <v>394.75</v>
      </c>
      <c r="AV6" s="21">
        <v>321.25</v>
      </c>
      <c r="AW6" s="21">
        <v>-18.6193793540215</v>
      </c>
      <c r="AX6" s="17" t="s">
        <v>29</v>
      </c>
      <c r="AY6" s="22">
        <v>45565</v>
      </c>
      <c r="AZ6" s="21">
        <v>429</v>
      </c>
      <c r="BA6" s="21">
        <v>394.75</v>
      </c>
      <c r="BB6" s="23">
        <v>-7.9836829836829803</v>
      </c>
      <c r="BC6" t="s">
        <v>29</v>
      </c>
      <c r="BD6" s="22">
        <v>45572</v>
      </c>
      <c r="BE6" s="21">
        <v>412.5</v>
      </c>
      <c r="BF6" s="21">
        <v>365.75</v>
      </c>
      <c r="BG6" s="21">
        <v>-11.3333333333333</v>
      </c>
      <c r="BH6" s="35" t="s">
        <v>29</v>
      </c>
      <c r="BI6" s="22">
        <v>45579</v>
      </c>
      <c r="BJ6" s="21">
        <v>433.5</v>
      </c>
      <c r="BK6" s="21">
        <v>356.5</v>
      </c>
      <c r="BL6" s="31">
        <v>-17.762399077277902</v>
      </c>
      <c r="BM6" s="17" t="s">
        <v>29</v>
      </c>
      <c r="BN6" s="1">
        <v>45586</v>
      </c>
      <c r="BO6">
        <v>356.75</v>
      </c>
      <c r="BP6">
        <v>311.75</v>
      </c>
      <c r="BQ6" s="40">
        <v>-12.613875262789</v>
      </c>
      <c r="BR6" s="17" t="s">
        <v>29</v>
      </c>
      <c r="BS6" s="1">
        <v>45592</v>
      </c>
      <c r="BT6">
        <v>401.5</v>
      </c>
      <c r="BU6">
        <v>347.25</v>
      </c>
      <c r="BV6" s="40">
        <v>-13.511830635118301</v>
      </c>
      <c r="BW6" s="17" t="s">
        <v>29</v>
      </c>
      <c r="BX6" s="1">
        <v>45600</v>
      </c>
      <c r="BY6">
        <v>381.25</v>
      </c>
      <c r="BZ6">
        <v>315.25</v>
      </c>
      <c r="CA6" s="39">
        <v>-17.311475409836</v>
      </c>
      <c r="CB6" s="17" t="s">
        <v>29</v>
      </c>
      <c r="CC6" s="1">
        <v>45607</v>
      </c>
      <c r="CD6">
        <v>357</v>
      </c>
      <c r="CE6">
        <v>267.75</v>
      </c>
      <c r="CF6" s="40">
        <v>-25</v>
      </c>
      <c r="CG6" s="17" t="s">
        <v>29</v>
      </c>
      <c r="CH6" s="1">
        <v>45614</v>
      </c>
      <c r="CI6">
        <v>405.25</v>
      </c>
      <c r="CJ6">
        <v>322.25</v>
      </c>
      <c r="CK6" s="39">
        <v>-20.481184454040701</v>
      </c>
      <c r="CL6" s="17" t="s">
        <v>29</v>
      </c>
      <c r="CM6" s="1">
        <v>45621</v>
      </c>
      <c r="CN6">
        <v>377.5</v>
      </c>
      <c r="CO6">
        <v>296.25</v>
      </c>
      <c r="CP6" s="40">
        <v>-21.523178807947001</v>
      </c>
      <c r="CQ6" s="17" t="s">
        <v>29</v>
      </c>
      <c r="CR6" s="1">
        <v>45628</v>
      </c>
      <c r="CS6">
        <v>392.75</v>
      </c>
      <c r="CT6">
        <v>265.75</v>
      </c>
      <c r="CU6" s="40">
        <v>-32.336091661362097</v>
      </c>
      <c r="CV6" s="17"/>
      <c r="CW6" s="46"/>
      <c r="CX6" s="46"/>
      <c r="CY6" s="46"/>
      <c r="CZ6" s="40"/>
      <c r="DA6" s="9" t="s">
        <v>29</v>
      </c>
      <c r="DB6" s="11">
        <f t="shared" si="0"/>
        <v>386.25</v>
      </c>
      <c r="DC6" s="11">
        <f t="shared" si="1"/>
        <v>323.81666666666666</v>
      </c>
      <c r="DD6" s="12" t="e">
        <f t="shared" si="2"/>
        <v>#DIV/0!</v>
      </c>
      <c r="DE6" s="12" t="e">
        <f t="shared" si="3"/>
        <v>#DIV/0!</v>
      </c>
      <c r="DF6" s="12" t="e">
        <f t="shared" si="4"/>
        <v>#DIV/0!</v>
      </c>
      <c r="DG6" s="12" t="e">
        <f t="shared" si="5"/>
        <v>#DIV/0!</v>
      </c>
      <c r="DH6" s="12">
        <f>(AZ6-C6)/AZ6</f>
        <v>0.18414918414918416</v>
      </c>
      <c r="DI6" s="12">
        <f>(BA6-D6)/BA6</f>
        <v>0.18619379354021531</v>
      </c>
    </row>
    <row r="7" spans="1:114" ht="17" thickBot="1" x14ac:dyDescent="0.25">
      <c r="A7" t="s">
        <v>24</v>
      </c>
      <c r="B7" s="1">
        <v>45505</v>
      </c>
      <c r="C7">
        <v>371.75</v>
      </c>
      <c r="D7">
        <v>332</v>
      </c>
      <c r="E7">
        <v>-10.692669804976401</v>
      </c>
      <c r="G7" t="s">
        <v>24</v>
      </c>
      <c r="H7" s="1">
        <v>45512</v>
      </c>
      <c r="I7">
        <v>372.5</v>
      </c>
      <c r="J7">
        <v>363</v>
      </c>
      <c r="K7">
        <v>-2.5503355704697901</v>
      </c>
      <c r="M7" t="s">
        <v>24</v>
      </c>
      <c r="N7" s="1">
        <v>45517</v>
      </c>
      <c r="O7">
        <v>369</v>
      </c>
      <c r="P7">
        <v>392.25</v>
      </c>
      <c r="Q7">
        <v>5.9273422562141498</v>
      </c>
      <c r="S7" t="s">
        <v>24</v>
      </c>
      <c r="T7" s="1">
        <v>45522</v>
      </c>
      <c r="U7">
        <v>369.25</v>
      </c>
      <c r="V7">
        <v>366.75</v>
      </c>
      <c r="W7">
        <v>-0.67704807041299997</v>
      </c>
      <c r="Y7" t="s">
        <v>24</v>
      </c>
      <c r="Z7" s="1">
        <v>45530</v>
      </c>
      <c r="AA7">
        <v>384.75</v>
      </c>
      <c r="AB7">
        <v>360.25</v>
      </c>
      <c r="AC7">
        <v>-6.3677712800519801</v>
      </c>
      <c r="AD7" t="s">
        <v>24</v>
      </c>
      <c r="AE7" s="1">
        <v>45537</v>
      </c>
      <c r="AF7">
        <v>376.5</v>
      </c>
      <c r="AG7">
        <v>372</v>
      </c>
      <c r="AH7">
        <v>-1.1952191235059699</v>
      </c>
      <c r="AI7" t="s">
        <v>24</v>
      </c>
      <c r="AJ7" s="1">
        <v>45544</v>
      </c>
      <c r="AK7">
        <v>332</v>
      </c>
      <c r="AL7">
        <v>299</v>
      </c>
      <c r="AM7">
        <v>-9.9397590361445793</v>
      </c>
      <c r="AN7" s="17" t="s">
        <v>24</v>
      </c>
      <c r="AO7" s="1">
        <v>45551</v>
      </c>
      <c r="AP7">
        <v>382</v>
      </c>
      <c r="AQ7">
        <v>373.75</v>
      </c>
      <c r="AR7">
        <v>-2.1596858638743499</v>
      </c>
      <c r="AS7" s="17" t="s">
        <v>24</v>
      </c>
      <c r="AT7" s="22">
        <v>45558</v>
      </c>
      <c r="AU7" s="21">
        <v>363.75</v>
      </c>
      <c r="AV7" s="21">
        <v>372</v>
      </c>
      <c r="AW7" s="21">
        <v>2.2177419354838701</v>
      </c>
      <c r="AX7" s="17" t="s">
        <v>24</v>
      </c>
      <c r="AY7" s="22">
        <v>45565</v>
      </c>
      <c r="AZ7" s="21">
        <v>355</v>
      </c>
      <c r="BA7" s="21">
        <v>337.5</v>
      </c>
      <c r="BB7" s="23">
        <v>-4.9295774647887303</v>
      </c>
      <c r="BC7" t="s">
        <v>24</v>
      </c>
      <c r="BD7" s="22">
        <v>45572</v>
      </c>
      <c r="BE7" s="21">
        <v>376.25</v>
      </c>
      <c r="BF7" s="21">
        <v>371</v>
      </c>
      <c r="BG7" s="21">
        <v>-1.3953488372092899</v>
      </c>
      <c r="BH7" s="35" t="s">
        <v>24</v>
      </c>
      <c r="BI7" s="22">
        <v>45579</v>
      </c>
      <c r="BJ7" s="21">
        <v>381.5</v>
      </c>
      <c r="BK7" s="21">
        <v>349</v>
      </c>
      <c r="BL7" s="21">
        <v>-8.5190039318479691</v>
      </c>
      <c r="BM7" s="17"/>
      <c r="BN7" s="1"/>
      <c r="BQ7" s="40"/>
      <c r="BR7" s="17"/>
      <c r="BS7" s="1"/>
      <c r="BV7" s="40"/>
      <c r="BW7" s="17" t="s">
        <v>24</v>
      </c>
      <c r="BX7" s="1">
        <v>45600</v>
      </c>
      <c r="BY7">
        <v>362.25</v>
      </c>
      <c r="BZ7">
        <v>349.5</v>
      </c>
      <c r="CA7" s="40">
        <v>-3.5196687370600399</v>
      </c>
      <c r="CB7" s="17" t="s">
        <v>24</v>
      </c>
      <c r="CC7" s="1">
        <v>45607</v>
      </c>
      <c r="CD7">
        <v>377.75</v>
      </c>
      <c r="CE7">
        <v>333.5</v>
      </c>
      <c r="CF7" s="40">
        <v>-11.7140966247518</v>
      </c>
      <c r="CG7" s="17" t="s">
        <v>24</v>
      </c>
      <c r="CH7" s="1">
        <v>45614</v>
      </c>
      <c r="CI7">
        <v>395</v>
      </c>
      <c r="CJ7">
        <v>409</v>
      </c>
      <c r="CK7" s="40">
        <v>3.4229828850855699</v>
      </c>
      <c r="CL7" s="17" t="s">
        <v>24</v>
      </c>
      <c r="CM7" s="1">
        <v>45621</v>
      </c>
      <c r="CN7">
        <v>389.25</v>
      </c>
      <c r="CO7">
        <v>375</v>
      </c>
      <c r="CP7" s="40">
        <v>-3.6608863198458499</v>
      </c>
      <c r="CQ7" s="17" t="s">
        <v>24</v>
      </c>
      <c r="CR7" s="1">
        <v>45628</v>
      </c>
      <c r="CS7">
        <v>414.75</v>
      </c>
      <c r="CT7">
        <v>344.75</v>
      </c>
      <c r="CU7" s="40">
        <v>-16.877637130801599</v>
      </c>
      <c r="CV7" s="17" t="s">
        <v>24</v>
      </c>
      <c r="CW7" s="47">
        <v>45635</v>
      </c>
      <c r="CX7" s="46">
        <v>431.75</v>
      </c>
      <c r="CY7" s="46">
        <v>361.5</v>
      </c>
      <c r="CZ7" s="49">
        <v>-16.2709901563404</v>
      </c>
      <c r="DA7" s="9" t="s">
        <v>24</v>
      </c>
      <c r="DB7" s="11">
        <f t="shared" si="0"/>
        <v>380.76470588235293</v>
      </c>
      <c r="DC7" s="11">
        <f t="shared" si="1"/>
        <v>362.51470588235293</v>
      </c>
      <c r="DD7" s="12">
        <f t="shared" si="2"/>
        <v>0.1180898531966348</v>
      </c>
      <c r="DE7" s="12">
        <f t="shared" si="3"/>
        <v>-2.806931901391225E-3</v>
      </c>
      <c r="DF7" s="12">
        <f t="shared" si="4"/>
        <v>3.937463810075275E-2</v>
      </c>
      <c r="DG7" s="12">
        <f t="shared" si="5"/>
        <v>4.6334716459197789E-2</v>
      </c>
      <c r="DH7" s="12">
        <f t="shared" ref="DH7:DH10" si="7">(AZ7-C7)/AZ7</f>
        <v>-4.7183098591549295E-2</v>
      </c>
      <c r="DI7" s="12">
        <f t="shared" ref="DI7:DI10" si="8">(BA7-D7)/BA7</f>
        <v>1.6296296296296295E-2</v>
      </c>
    </row>
    <row r="8" spans="1:114" ht="17" thickBot="1" x14ac:dyDescent="0.25">
      <c r="A8" t="s">
        <v>11</v>
      </c>
      <c r="B8" s="1">
        <v>45505</v>
      </c>
      <c r="C8">
        <v>419</v>
      </c>
      <c r="D8">
        <v>418.25</v>
      </c>
      <c r="E8">
        <v>-0.17899761336514999</v>
      </c>
      <c r="G8" t="s">
        <v>11</v>
      </c>
      <c r="H8" s="1">
        <v>45512</v>
      </c>
      <c r="I8">
        <v>547.5</v>
      </c>
      <c r="J8">
        <v>522.5</v>
      </c>
      <c r="K8">
        <v>-4.5662100456620998</v>
      </c>
      <c r="M8" t="s">
        <v>11</v>
      </c>
      <c r="N8" s="1">
        <v>45517</v>
      </c>
      <c r="O8">
        <v>567.25</v>
      </c>
      <c r="P8">
        <v>522.5</v>
      </c>
      <c r="Q8">
        <v>-7.8889378580872602</v>
      </c>
      <c r="S8" t="s">
        <v>11</v>
      </c>
      <c r="T8" s="1">
        <v>45522</v>
      </c>
      <c r="U8">
        <v>586</v>
      </c>
      <c r="V8">
        <v>517.5</v>
      </c>
      <c r="W8">
        <v>-11.6894197952218</v>
      </c>
      <c r="Y8" t="s">
        <v>11</v>
      </c>
      <c r="Z8" s="1">
        <v>45530</v>
      </c>
      <c r="AA8">
        <v>602.75</v>
      </c>
      <c r="AB8">
        <v>523.5</v>
      </c>
      <c r="AC8">
        <v>-13.148071339693001</v>
      </c>
      <c r="AD8" t="s">
        <v>11</v>
      </c>
      <c r="AE8" s="1">
        <v>45537</v>
      </c>
      <c r="AF8">
        <v>562.5</v>
      </c>
      <c r="AG8">
        <v>511</v>
      </c>
      <c r="AH8">
        <v>-9.1555555555555497</v>
      </c>
      <c r="AI8" t="s">
        <v>11</v>
      </c>
      <c r="AJ8" s="1">
        <v>45544</v>
      </c>
      <c r="AK8">
        <v>553.75</v>
      </c>
      <c r="AL8">
        <v>535.25</v>
      </c>
      <c r="AM8">
        <v>-3.3408577878103798</v>
      </c>
      <c r="AN8" s="17" t="s">
        <v>11</v>
      </c>
      <c r="AO8" s="1">
        <v>45551</v>
      </c>
      <c r="AP8">
        <v>557</v>
      </c>
      <c r="AQ8">
        <v>438.5</v>
      </c>
      <c r="AR8" s="13">
        <v>-21.274685816876101</v>
      </c>
      <c r="AS8" s="17" t="s">
        <v>11</v>
      </c>
      <c r="AT8" s="22">
        <v>45558</v>
      </c>
      <c r="AU8" s="21">
        <v>565.75</v>
      </c>
      <c r="AV8" s="21">
        <v>528.5</v>
      </c>
      <c r="AW8" s="21">
        <v>-6.5841802916482504</v>
      </c>
      <c r="AX8" s="17" t="s">
        <v>11</v>
      </c>
      <c r="AY8" s="22">
        <v>45565</v>
      </c>
      <c r="AZ8" s="21">
        <v>546</v>
      </c>
      <c r="BA8" s="21">
        <v>559.75</v>
      </c>
      <c r="BB8" s="23">
        <v>2.45645377400625</v>
      </c>
      <c r="BC8" t="s">
        <v>11</v>
      </c>
      <c r="BD8" s="22">
        <v>45572</v>
      </c>
      <c r="BE8" s="21">
        <v>610</v>
      </c>
      <c r="BF8" s="21">
        <v>555</v>
      </c>
      <c r="BG8" s="21">
        <v>-9.01639344262294</v>
      </c>
      <c r="BH8" s="35" t="s">
        <v>11</v>
      </c>
      <c r="BI8" s="22">
        <v>45579</v>
      </c>
      <c r="BJ8" s="21">
        <v>613.75</v>
      </c>
      <c r="BK8" s="21">
        <v>573.25</v>
      </c>
      <c r="BL8" s="21">
        <v>-6.5987780040733197</v>
      </c>
      <c r="BM8" s="17" t="s">
        <v>11</v>
      </c>
      <c r="BN8" s="1">
        <v>45586</v>
      </c>
      <c r="BO8">
        <v>535.25</v>
      </c>
      <c r="BP8">
        <v>533.5</v>
      </c>
      <c r="BQ8" s="40">
        <v>-0.32695002335357798</v>
      </c>
      <c r="BR8" s="17" t="s">
        <v>11</v>
      </c>
      <c r="BS8" s="1">
        <v>45592</v>
      </c>
      <c r="BT8">
        <v>580.25</v>
      </c>
      <c r="BU8">
        <v>514.75</v>
      </c>
      <c r="BV8" s="40">
        <v>-11.288237828522099</v>
      </c>
      <c r="BW8" s="17" t="s">
        <v>11</v>
      </c>
      <c r="BX8" s="1">
        <v>45600</v>
      </c>
      <c r="BY8">
        <v>580</v>
      </c>
      <c r="BZ8">
        <v>512.5</v>
      </c>
      <c r="CA8" s="40">
        <v>-11.637931034482699</v>
      </c>
      <c r="CB8" s="17" t="s">
        <v>11</v>
      </c>
      <c r="CC8" s="1">
        <v>45607</v>
      </c>
      <c r="CD8">
        <v>444</v>
      </c>
      <c r="CE8">
        <v>451.75</v>
      </c>
      <c r="CF8" s="40">
        <v>1.7155506364139399</v>
      </c>
      <c r="CG8" s="17" t="s">
        <v>11</v>
      </c>
      <c r="CH8" s="1">
        <v>45614</v>
      </c>
      <c r="CI8">
        <v>582.75</v>
      </c>
      <c r="CJ8">
        <v>592.5</v>
      </c>
      <c r="CK8" s="40">
        <v>1.64556962025316</v>
      </c>
      <c r="CL8" s="17" t="s">
        <v>11</v>
      </c>
      <c r="CM8" s="1">
        <v>45621</v>
      </c>
      <c r="CN8">
        <v>525.75</v>
      </c>
      <c r="CO8">
        <v>552.75</v>
      </c>
      <c r="CP8" s="40">
        <v>4.8846675712347301</v>
      </c>
      <c r="CQ8" s="17" t="s">
        <v>11</v>
      </c>
      <c r="CR8" s="1">
        <v>45628</v>
      </c>
      <c r="CS8">
        <v>548.75</v>
      </c>
      <c r="CT8">
        <v>538.5</v>
      </c>
      <c r="CU8" s="40">
        <v>-1.8678815489749401</v>
      </c>
      <c r="CV8" s="17" t="s">
        <v>11</v>
      </c>
      <c r="CW8" s="47">
        <v>45634</v>
      </c>
      <c r="CX8" s="46">
        <v>630.25</v>
      </c>
      <c r="CY8" s="46">
        <v>564</v>
      </c>
      <c r="CZ8" s="40">
        <v>-10.5117017056723</v>
      </c>
      <c r="DA8" s="9" t="s">
        <v>11</v>
      </c>
      <c r="DB8" s="11">
        <f t="shared" si="0"/>
        <v>558.13157894736844</v>
      </c>
      <c r="DC8" s="11">
        <f t="shared" si="1"/>
        <v>522.65789473684208</v>
      </c>
      <c r="DD8" s="12">
        <f t="shared" si="2"/>
        <v>0.11442827616442929</v>
      </c>
      <c r="DE8" s="12">
        <f t="shared" si="3"/>
        <v>7.3301605076521129E-2</v>
      </c>
      <c r="DF8" s="12">
        <f t="shared" si="4"/>
        <v>0.1293137643792146</v>
      </c>
      <c r="DG8" s="12">
        <f t="shared" si="5"/>
        <v>4.5212765957446811E-2</v>
      </c>
      <c r="DH8" s="12">
        <f t="shared" si="7"/>
        <v>0.23260073260073261</v>
      </c>
      <c r="DI8" s="12">
        <f t="shared" si="8"/>
        <v>0.25279142474318894</v>
      </c>
    </row>
    <row r="9" spans="1:114" ht="17" thickBot="1" x14ac:dyDescent="0.25">
      <c r="A9" t="s">
        <v>10</v>
      </c>
      <c r="B9" s="1">
        <v>45505</v>
      </c>
      <c r="C9">
        <v>443.75</v>
      </c>
      <c r="D9">
        <v>404.5</v>
      </c>
      <c r="E9">
        <v>-8.8450704225351995</v>
      </c>
      <c r="G9" t="s">
        <v>10</v>
      </c>
      <c r="H9" s="1">
        <v>45512</v>
      </c>
      <c r="I9">
        <v>412</v>
      </c>
      <c r="J9">
        <v>413.5</v>
      </c>
      <c r="K9">
        <v>0.36275695284159098</v>
      </c>
      <c r="M9" t="s">
        <v>10</v>
      </c>
      <c r="N9" s="1">
        <v>45517</v>
      </c>
      <c r="O9">
        <v>410</v>
      </c>
      <c r="P9">
        <v>425</v>
      </c>
      <c r="Q9">
        <v>3.52941176470588</v>
      </c>
      <c r="S9" t="s">
        <v>10</v>
      </c>
      <c r="T9" s="1">
        <v>45522</v>
      </c>
      <c r="U9">
        <v>456</v>
      </c>
      <c r="V9">
        <v>404.5</v>
      </c>
      <c r="W9">
        <v>-11.293859649122799</v>
      </c>
      <c r="Y9" t="s">
        <v>10</v>
      </c>
      <c r="Z9" s="1">
        <v>45530</v>
      </c>
      <c r="AA9">
        <v>453.5</v>
      </c>
      <c r="AB9">
        <v>383.75</v>
      </c>
      <c r="AC9">
        <v>-15.380374862183</v>
      </c>
      <c r="AD9" t="s">
        <v>10</v>
      </c>
      <c r="AE9" s="1">
        <v>45537</v>
      </c>
      <c r="AF9">
        <v>383</v>
      </c>
      <c r="AG9">
        <v>351.75</v>
      </c>
      <c r="AH9">
        <v>-8.1592689295039094</v>
      </c>
      <c r="AI9" t="s">
        <v>10</v>
      </c>
      <c r="AJ9" s="1">
        <v>45544</v>
      </c>
      <c r="AK9">
        <v>397</v>
      </c>
      <c r="AL9">
        <v>436.75</v>
      </c>
      <c r="AM9">
        <v>9.1013165426445308</v>
      </c>
      <c r="AN9" s="17" t="s">
        <v>10</v>
      </c>
      <c r="AO9" s="1">
        <v>45551</v>
      </c>
      <c r="AP9">
        <v>416.75</v>
      </c>
      <c r="AQ9">
        <v>403.25</v>
      </c>
      <c r="AR9">
        <v>-3.2393521295740801</v>
      </c>
      <c r="AS9" s="17" t="s">
        <v>10</v>
      </c>
      <c r="AT9" s="22">
        <v>45558</v>
      </c>
      <c r="AU9" s="21">
        <v>406.25</v>
      </c>
      <c r="AV9" s="21">
        <v>419.5</v>
      </c>
      <c r="AW9" s="21">
        <v>3.1585220500595899</v>
      </c>
      <c r="AX9" s="17"/>
      <c r="BB9" s="23"/>
      <c r="BD9" s="22"/>
      <c r="BH9" s="35"/>
      <c r="BI9" s="22"/>
      <c r="BM9" s="17"/>
      <c r="BN9" s="1"/>
      <c r="BQ9" s="40"/>
      <c r="BR9" s="17"/>
      <c r="BS9" s="1"/>
      <c r="BV9" s="40"/>
      <c r="BW9" s="17"/>
      <c r="BX9" s="1"/>
      <c r="CA9" s="40"/>
      <c r="CB9" s="17"/>
      <c r="CC9" s="1"/>
      <c r="CF9" s="40"/>
      <c r="CG9" s="17"/>
      <c r="CH9" s="1"/>
      <c r="CK9" s="40"/>
      <c r="CL9" s="17"/>
      <c r="CP9" s="40"/>
      <c r="CQ9" s="17"/>
      <c r="CR9" s="1"/>
      <c r="CU9" s="40"/>
      <c r="CV9" s="17"/>
      <c r="CW9" s="46"/>
      <c r="CX9" s="46"/>
      <c r="CY9" s="46"/>
      <c r="CZ9" s="40"/>
      <c r="DA9" s="9" t="s">
        <v>10</v>
      </c>
      <c r="DB9" s="11">
        <f t="shared" si="0"/>
        <v>422.65625</v>
      </c>
      <c r="DC9" s="11">
        <f t="shared" si="1"/>
        <v>400.71875</v>
      </c>
      <c r="DD9" s="12" t="e">
        <f t="shared" si="2"/>
        <v>#DIV/0!</v>
      </c>
      <c r="DE9" s="12" t="e">
        <f t="shared" si="3"/>
        <v>#DIV/0!</v>
      </c>
      <c r="DF9" s="12" t="e">
        <f t="shared" si="4"/>
        <v>#DIV/0!</v>
      </c>
      <c r="DG9" s="12" t="e">
        <f t="shared" si="5"/>
        <v>#DIV/0!</v>
      </c>
      <c r="DH9" s="12" t="e">
        <f t="shared" si="7"/>
        <v>#DIV/0!</v>
      </c>
      <c r="DI9" s="12" t="e">
        <f t="shared" si="8"/>
        <v>#DIV/0!</v>
      </c>
    </row>
    <row r="10" spans="1:114" ht="17" thickBot="1" x14ac:dyDescent="0.25">
      <c r="A10" t="s">
        <v>14</v>
      </c>
      <c r="B10" s="1">
        <v>45505</v>
      </c>
      <c r="C10">
        <v>353.5</v>
      </c>
      <c r="D10">
        <v>340.75</v>
      </c>
      <c r="E10">
        <v>-3.6067892503536001</v>
      </c>
      <c r="G10" t="s">
        <v>14</v>
      </c>
      <c r="H10" s="1">
        <v>45512</v>
      </c>
      <c r="I10">
        <v>330</v>
      </c>
      <c r="J10">
        <v>300.5</v>
      </c>
      <c r="K10">
        <v>-8.9393939393939306</v>
      </c>
      <c r="M10" t="s">
        <v>14</v>
      </c>
      <c r="N10" s="1">
        <v>45517</v>
      </c>
      <c r="O10">
        <v>346.5</v>
      </c>
      <c r="P10">
        <v>333</v>
      </c>
      <c r="Q10">
        <v>-3.8961038961038899</v>
      </c>
      <c r="S10" t="s">
        <v>14</v>
      </c>
      <c r="T10" s="1">
        <v>45522</v>
      </c>
      <c r="U10">
        <v>400.75</v>
      </c>
      <c r="V10">
        <v>356.25</v>
      </c>
      <c r="W10">
        <v>-11.1041796631316</v>
      </c>
      <c r="Y10" t="s">
        <v>14</v>
      </c>
      <c r="Z10" s="1">
        <v>45530</v>
      </c>
      <c r="AA10">
        <v>414.75</v>
      </c>
      <c r="AB10">
        <v>301.75</v>
      </c>
      <c r="AC10" s="13">
        <v>-27.2453285111513</v>
      </c>
      <c r="AD10" t="s">
        <v>14</v>
      </c>
      <c r="AE10" s="1">
        <v>45537</v>
      </c>
      <c r="AF10">
        <v>433</v>
      </c>
      <c r="AG10">
        <v>329.5</v>
      </c>
      <c r="AH10" s="13">
        <v>-23.9030023094688</v>
      </c>
      <c r="AI10" t="s">
        <v>14</v>
      </c>
      <c r="AJ10" s="1">
        <v>45544</v>
      </c>
      <c r="AK10">
        <v>468</v>
      </c>
      <c r="AL10">
        <v>403</v>
      </c>
      <c r="AM10">
        <v>-13.8888888888888</v>
      </c>
      <c r="AN10" s="17" t="s">
        <v>14</v>
      </c>
      <c r="AO10" s="1">
        <v>45551</v>
      </c>
      <c r="AP10">
        <v>463</v>
      </c>
      <c r="AQ10">
        <v>374.75</v>
      </c>
      <c r="AR10">
        <v>-19.060475161987</v>
      </c>
      <c r="AS10" s="17" t="s">
        <v>14</v>
      </c>
      <c r="AT10" s="22">
        <v>45558</v>
      </c>
      <c r="AU10" s="21">
        <v>453.75</v>
      </c>
      <c r="AV10" s="21">
        <v>394</v>
      </c>
      <c r="AW10" s="21">
        <v>-13.168044077134899</v>
      </c>
      <c r="AX10" s="17" t="s">
        <v>14</v>
      </c>
      <c r="AY10" s="22">
        <v>45565</v>
      </c>
      <c r="AZ10" s="21">
        <v>416</v>
      </c>
      <c r="BA10" s="21">
        <v>317.75</v>
      </c>
      <c r="BB10" s="29">
        <v>-23.6177884615384</v>
      </c>
      <c r="BC10" t="s">
        <v>14</v>
      </c>
      <c r="BD10" s="22">
        <v>45572</v>
      </c>
      <c r="BE10" s="21">
        <v>477.5</v>
      </c>
      <c r="BF10" s="21">
        <v>372.75</v>
      </c>
      <c r="BG10" s="31">
        <v>-21.937172774869101</v>
      </c>
      <c r="BH10" s="35" t="s">
        <v>14</v>
      </c>
      <c r="BI10" s="22">
        <v>45579</v>
      </c>
      <c r="BJ10" s="21">
        <v>461</v>
      </c>
      <c r="BK10" s="21">
        <v>432.5</v>
      </c>
      <c r="BL10" s="21">
        <v>-6.1822125813449</v>
      </c>
      <c r="BM10" s="17" t="s">
        <v>14</v>
      </c>
      <c r="BN10" s="1">
        <v>45586</v>
      </c>
      <c r="BO10">
        <v>486.25</v>
      </c>
      <c r="BP10">
        <v>418</v>
      </c>
      <c r="BQ10" s="40">
        <v>-14.0359897172236</v>
      </c>
      <c r="BR10" s="17" t="s">
        <v>14</v>
      </c>
      <c r="BS10" s="1">
        <v>45593</v>
      </c>
      <c r="BT10">
        <v>476.75</v>
      </c>
      <c r="BU10">
        <v>409.5</v>
      </c>
      <c r="BV10" s="40">
        <v>-14.1059255374934</v>
      </c>
      <c r="BW10" s="17" t="s">
        <v>14</v>
      </c>
      <c r="BX10" s="1">
        <v>45600</v>
      </c>
      <c r="BY10">
        <v>438</v>
      </c>
      <c r="BZ10">
        <v>381.25</v>
      </c>
      <c r="CA10" s="40">
        <v>-12.9566210045662</v>
      </c>
      <c r="CB10" s="17" t="s">
        <v>14</v>
      </c>
      <c r="CC10" s="1">
        <v>45607</v>
      </c>
      <c r="CD10">
        <v>456.5</v>
      </c>
      <c r="CE10">
        <v>365.5</v>
      </c>
      <c r="CF10" s="39">
        <v>-19.934282584885</v>
      </c>
      <c r="CG10" s="17" t="s">
        <v>14</v>
      </c>
      <c r="CH10" s="1">
        <v>45614</v>
      </c>
      <c r="CI10">
        <v>463.75</v>
      </c>
      <c r="CJ10">
        <v>426</v>
      </c>
      <c r="CK10" s="40">
        <v>-8.1401617250673795</v>
      </c>
      <c r="CL10" s="17" t="s">
        <v>14</v>
      </c>
      <c r="CM10" s="1">
        <v>45621</v>
      </c>
      <c r="CN10">
        <v>440.25</v>
      </c>
      <c r="CO10">
        <v>444.75</v>
      </c>
      <c r="CP10" s="40">
        <v>1.0118043844856699</v>
      </c>
      <c r="CQ10" s="17" t="s">
        <v>14</v>
      </c>
      <c r="CR10" s="1">
        <v>45628</v>
      </c>
      <c r="CS10">
        <v>443.25</v>
      </c>
      <c r="CT10">
        <v>397.5</v>
      </c>
      <c r="CU10" s="40">
        <v>-10.321489001691999</v>
      </c>
      <c r="CV10" s="17" t="s">
        <v>14</v>
      </c>
      <c r="CW10" s="47">
        <v>45635</v>
      </c>
      <c r="CX10" s="46">
        <v>492.75</v>
      </c>
      <c r="CY10" s="46">
        <v>429.75</v>
      </c>
      <c r="CZ10" s="40">
        <v>-12.7853881278538</v>
      </c>
      <c r="DA10" s="9" t="s">
        <v>14</v>
      </c>
      <c r="DB10" s="11">
        <f t="shared" si="0"/>
        <v>434.06578947368422</v>
      </c>
      <c r="DC10" s="11">
        <f t="shared" si="1"/>
        <v>375.03947368421052</v>
      </c>
      <c r="DD10" s="12">
        <f t="shared" si="2"/>
        <v>0.11909530294533897</v>
      </c>
      <c r="DE10" s="12">
        <f t="shared" si="3"/>
        <v>0.12730779829154037</v>
      </c>
      <c r="DF10" s="12">
        <f t="shared" si="4"/>
        <v>0.1004566210045662</v>
      </c>
      <c r="DG10" s="12">
        <f t="shared" si="5"/>
        <v>7.5043630017452012E-2</v>
      </c>
      <c r="DH10" s="12">
        <f t="shared" si="7"/>
        <v>0.15024038461538461</v>
      </c>
      <c r="DI10" s="12">
        <f t="shared" si="8"/>
        <v>-7.2383949645948076E-2</v>
      </c>
      <c r="DJ10" s="2"/>
    </row>
    <row r="11" spans="1:114" ht="17" thickBot="1" x14ac:dyDescent="0.25">
      <c r="B11" s="1"/>
      <c r="H11" s="1"/>
      <c r="N11" s="1"/>
      <c r="T11" s="1"/>
      <c r="Z11" s="1"/>
      <c r="AC11" s="13"/>
      <c r="AE11" s="1"/>
      <c r="AH11" s="13"/>
      <c r="AJ11" s="1"/>
      <c r="AN11" s="17"/>
      <c r="AO11" s="1"/>
      <c r="AS11" s="17"/>
      <c r="AT11" s="22"/>
      <c r="AX11" s="17" t="s">
        <v>46</v>
      </c>
      <c r="AY11" s="22">
        <v>45565</v>
      </c>
      <c r="AZ11" s="21">
        <v>552.5</v>
      </c>
      <c r="BA11" s="21">
        <v>569.75</v>
      </c>
      <c r="BB11" s="23">
        <v>3.0276437033786698</v>
      </c>
      <c r="BD11" s="22"/>
      <c r="BH11" s="35" t="s">
        <v>46</v>
      </c>
      <c r="BI11" s="22">
        <v>45579</v>
      </c>
      <c r="BJ11" s="21">
        <v>757</v>
      </c>
      <c r="BK11" s="21">
        <v>599.5</v>
      </c>
      <c r="BL11" s="31">
        <v>-20.805812417437199</v>
      </c>
      <c r="BM11" s="17" t="s">
        <v>46</v>
      </c>
      <c r="BN11" s="1">
        <v>45586</v>
      </c>
      <c r="BO11">
        <v>622</v>
      </c>
      <c r="BP11">
        <v>586.25</v>
      </c>
      <c r="BQ11" s="40">
        <v>-5.7475884244372999</v>
      </c>
      <c r="BR11" s="17" t="s">
        <v>46</v>
      </c>
      <c r="BS11" s="1">
        <v>45592</v>
      </c>
      <c r="BT11">
        <v>622.5</v>
      </c>
      <c r="BU11">
        <v>600</v>
      </c>
      <c r="BV11" s="40">
        <v>-3.6144578313253</v>
      </c>
      <c r="BW11" s="17" t="s">
        <v>46</v>
      </c>
      <c r="BX11" s="1">
        <v>45600</v>
      </c>
      <c r="BY11">
        <v>594.75</v>
      </c>
      <c r="BZ11">
        <v>632.75</v>
      </c>
      <c r="CA11" s="40">
        <v>6.0055314105096702</v>
      </c>
      <c r="CB11" s="17" t="s">
        <v>46</v>
      </c>
      <c r="CC11" s="1">
        <v>45607</v>
      </c>
      <c r="CD11">
        <v>593</v>
      </c>
      <c r="CE11">
        <v>584</v>
      </c>
      <c r="CF11" s="40">
        <v>-1.5177065767284901</v>
      </c>
      <c r="CG11" s="17" t="s">
        <v>46</v>
      </c>
      <c r="CH11" s="1">
        <v>45614</v>
      </c>
      <c r="CI11">
        <v>603.25</v>
      </c>
      <c r="CJ11">
        <v>600.75</v>
      </c>
      <c r="CK11" s="40">
        <v>-0.41442188147534598</v>
      </c>
      <c r="CL11" s="17" t="s">
        <v>46</v>
      </c>
      <c r="CM11" s="1">
        <v>45621</v>
      </c>
      <c r="CN11">
        <v>613.5</v>
      </c>
      <c r="CO11">
        <v>582.75</v>
      </c>
      <c r="CP11" s="40">
        <v>-5.0122249388753097</v>
      </c>
      <c r="CQ11" s="17" t="s">
        <v>46</v>
      </c>
      <c r="CR11" s="1">
        <v>45628</v>
      </c>
      <c r="CS11">
        <v>646</v>
      </c>
      <c r="CT11">
        <v>572.75</v>
      </c>
      <c r="CU11" s="40">
        <v>-11.339009287925601</v>
      </c>
      <c r="CV11" s="17"/>
      <c r="CW11" s="46"/>
      <c r="CX11" s="46"/>
      <c r="CY11" s="46"/>
      <c r="CZ11" s="40"/>
      <c r="DA11" s="9" t="s">
        <v>46</v>
      </c>
      <c r="DB11" s="11">
        <f t="shared" si="0"/>
        <v>622.72222222222217</v>
      </c>
      <c r="DC11" s="11">
        <f t="shared" si="1"/>
        <v>592.05555555555554</v>
      </c>
      <c r="DD11" s="12" t="e">
        <f t="shared" si="2"/>
        <v>#DIV/0!</v>
      </c>
      <c r="DE11" s="12" t="e">
        <f t="shared" si="3"/>
        <v>#DIV/0!</v>
      </c>
      <c r="DF11" s="12" t="e">
        <f t="shared" si="4"/>
        <v>#DIV/0!</v>
      </c>
      <c r="DG11" s="12" t="e">
        <f t="shared" si="5"/>
        <v>#DIV/0!</v>
      </c>
      <c r="DH11" s="12"/>
      <c r="DI11" s="30"/>
    </row>
    <row r="12" spans="1:114" ht="17" thickBot="1" x14ac:dyDescent="0.25">
      <c r="A12" t="s">
        <v>27</v>
      </c>
      <c r="B12" s="1">
        <v>45505</v>
      </c>
      <c r="C12">
        <v>538</v>
      </c>
      <c r="D12">
        <v>504.25</v>
      </c>
      <c r="E12">
        <v>-6.2732342007434898</v>
      </c>
      <c r="M12" t="s">
        <v>27</v>
      </c>
      <c r="N12" s="1">
        <v>45517</v>
      </c>
      <c r="O12">
        <v>491.75</v>
      </c>
      <c r="P12">
        <v>459.5</v>
      </c>
      <c r="Q12">
        <v>-6.5582104728012096</v>
      </c>
      <c r="Y12" t="s">
        <v>27</v>
      </c>
      <c r="Z12" s="1">
        <v>45530</v>
      </c>
      <c r="AA12">
        <v>553.25</v>
      </c>
      <c r="AB12">
        <v>490</v>
      </c>
      <c r="AC12">
        <v>-11.432444645277901</v>
      </c>
      <c r="AD12" t="s">
        <v>27</v>
      </c>
      <c r="AE12" s="1">
        <v>45537</v>
      </c>
      <c r="AF12">
        <v>439.75</v>
      </c>
      <c r="AG12">
        <v>424</v>
      </c>
      <c r="AH12">
        <v>-3.5815804434337699</v>
      </c>
      <c r="AI12" t="s">
        <v>27</v>
      </c>
      <c r="AJ12" s="1">
        <v>45544</v>
      </c>
      <c r="AK12">
        <v>450.75</v>
      </c>
      <c r="AL12">
        <v>439.75</v>
      </c>
      <c r="AM12">
        <v>-2.44037714919578</v>
      </c>
      <c r="AN12" s="17"/>
      <c r="AS12" s="17"/>
      <c r="AX12" s="17"/>
      <c r="BB12" s="23"/>
      <c r="BC12" t="s">
        <v>27</v>
      </c>
      <c r="BD12" s="22">
        <v>45572</v>
      </c>
      <c r="BE12" s="21">
        <v>471</v>
      </c>
      <c r="BF12" s="21">
        <v>462.25</v>
      </c>
      <c r="BG12" s="21">
        <v>-1.8577494692144401</v>
      </c>
      <c r="BH12" s="35" t="s">
        <v>27</v>
      </c>
      <c r="BI12" s="22">
        <v>45579</v>
      </c>
      <c r="BJ12" s="21">
        <v>504</v>
      </c>
      <c r="BK12" s="21">
        <v>463.25</v>
      </c>
      <c r="BL12" s="21">
        <v>-8.0853174603174605</v>
      </c>
      <c r="BM12" s="17" t="s">
        <v>27</v>
      </c>
      <c r="BN12" s="1">
        <v>45586</v>
      </c>
      <c r="BO12">
        <v>473.25</v>
      </c>
      <c r="BP12">
        <v>384.75</v>
      </c>
      <c r="BQ12" s="40">
        <v>-18.700475435816099</v>
      </c>
      <c r="BR12" s="17" t="s">
        <v>27</v>
      </c>
      <c r="BS12" s="1">
        <v>45592</v>
      </c>
      <c r="BT12">
        <v>404.5</v>
      </c>
      <c r="BU12">
        <v>376.75</v>
      </c>
      <c r="BV12" s="40">
        <v>-6.8603213844252098</v>
      </c>
      <c r="BW12" s="17" t="s">
        <v>27</v>
      </c>
      <c r="BX12" s="1">
        <v>45600</v>
      </c>
      <c r="BY12">
        <v>503.5</v>
      </c>
      <c r="BZ12">
        <v>475.5</v>
      </c>
      <c r="CA12" s="40">
        <v>-5.56107249255213</v>
      </c>
      <c r="CB12" s="17" t="s">
        <v>27</v>
      </c>
      <c r="CC12" s="1">
        <v>45607</v>
      </c>
      <c r="CD12">
        <v>457.25</v>
      </c>
      <c r="CE12">
        <v>474.75</v>
      </c>
      <c r="CF12" s="40">
        <v>3.6861506055818798</v>
      </c>
      <c r="CG12" s="17" t="s">
        <v>27</v>
      </c>
      <c r="CH12" s="1">
        <v>45614</v>
      </c>
      <c r="CI12">
        <v>452.75</v>
      </c>
      <c r="CJ12">
        <v>427.5</v>
      </c>
      <c r="CK12" s="40">
        <v>-5.57702926559912</v>
      </c>
      <c r="CL12" s="17" t="s">
        <v>27</v>
      </c>
      <c r="CM12" s="1">
        <v>45621</v>
      </c>
      <c r="CN12">
        <v>354.75</v>
      </c>
      <c r="CO12">
        <v>402.75</v>
      </c>
      <c r="CP12" s="40">
        <v>11.918063314711301</v>
      </c>
      <c r="CQ12" s="17" t="s">
        <v>27</v>
      </c>
      <c r="CR12" s="1">
        <v>45628</v>
      </c>
      <c r="CS12">
        <v>419</v>
      </c>
      <c r="CT12">
        <v>438.25</v>
      </c>
      <c r="CU12" s="40">
        <v>4.3924700513405499</v>
      </c>
      <c r="CV12" s="17"/>
      <c r="CW12" s="46"/>
      <c r="CX12" s="46"/>
      <c r="CY12" s="46"/>
      <c r="CZ12" s="40"/>
      <c r="DA12" s="9" t="s">
        <v>27</v>
      </c>
      <c r="DB12" s="11">
        <f t="shared" si="0"/>
        <v>466.36538461538464</v>
      </c>
      <c r="DC12" s="11">
        <f t="shared" si="1"/>
        <v>444.88461538461536</v>
      </c>
      <c r="DD12" s="12" t="e">
        <f t="shared" si="2"/>
        <v>#DIV/0!</v>
      </c>
      <c r="DE12" s="12" t="e">
        <f t="shared" si="3"/>
        <v>#DIV/0!</v>
      </c>
      <c r="DF12" s="12" t="e">
        <f t="shared" si="4"/>
        <v>#DIV/0!</v>
      </c>
      <c r="DG12" s="12" t="e">
        <f t="shared" si="5"/>
        <v>#DIV/0!</v>
      </c>
      <c r="DH12" s="12" t="e">
        <f t="shared" ref="DH12:DH24" si="9">(AZ12-C12)/AZ12</f>
        <v>#DIV/0!</v>
      </c>
      <c r="DI12" s="12" t="e">
        <f t="shared" ref="DI12:DI24" si="10">(BA12-D12)/BA12</f>
        <v>#DIV/0!</v>
      </c>
    </row>
    <row r="13" spans="1:114" ht="17" thickBot="1" x14ac:dyDescent="0.25">
      <c r="A13" t="s">
        <v>22</v>
      </c>
      <c r="B13" s="1">
        <v>45505</v>
      </c>
      <c r="C13">
        <v>316.75</v>
      </c>
      <c r="D13">
        <v>301.75</v>
      </c>
      <c r="E13">
        <v>-4.73559589581689</v>
      </c>
      <c r="G13" t="s">
        <v>22</v>
      </c>
      <c r="H13" s="1">
        <v>45512</v>
      </c>
      <c r="I13">
        <v>269.25</v>
      </c>
      <c r="J13">
        <v>327</v>
      </c>
      <c r="K13">
        <v>17.660550458715498</v>
      </c>
      <c r="M13" t="s">
        <v>22</v>
      </c>
      <c r="N13" s="1">
        <v>45517</v>
      </c>
      <c r="O13">
        <v>433.25</v>
      </c>
      <c r="P13">
        <v>420</v>
      </c>
      <c r="Q13">
        <v>-3.0582804385458702</v>
      </c>
      <c r="S13" t="s">
        <v>22</v>
      </c>
      <c r="T13" s="1">
        <v>45522</v>
      </c>
      <c r="U13">
        <v>423</v>
      </c>
      <c r="V13">
        <v>427.5</v>
      </c>
      <c r="W13">
        <v>1.0526315789473699</v>
      </c>
      <c r="Y13" t="s">
        <v>22</v>
      </c>
      <c r="Z13" s="1">
        <v>45530</v>
      </c>
      <c r="AA13">
        <v>496</v>
      </c>
      <c r="AB13">
        <v>426</v>
      </c>
      <c r="AC13">
        <v>-14.1129032258064</v>
      </c>
      <c r="AD13" t="s">
        <v>22</v>
      </c>
      <c r="AE13" s="1">
        <v>45537</v>
      </c>
      <c r="AF13">
        <v>507.25</v>
      </c>
      <c r="AG13">
        <v>423.5</v>
      </c>
      <c r="AH13" s="13">
        <v>-16.510596352883098</v>
      </c>
      <c r="AI13" t="s">
        <v>22</v>
      </c>
      <c r="AJ13" s="1">
        <v>45544</v>
      </c>
      <c r="AK13">
        <v>491.75</v>
      </c>
      <c r="AL13">
        <v>426.25</v>
      </c>
      <c r="AM13">
        <v>-13.319776309100099</v>
      </c>
      <c r="AN13" s="17" t="s">
        <v>22</v>
      </c>
      <c r="AO13" s="1">
        <v>45551</v>
      </c>
      <c r="AP13">
        <v>495.25</v>
      </c>
      <c r="AQ13">
        <v>461.5</v>
      </c>
      <c r="AR13">
        <v>-6.8147400302877301</v>
      </c>
      <c r="AS13" s="17" t="s">
        <v>22</v>
      </c>
      <c r="AT13" s="22">
        <v>45558</v>
      </c>
      <c r="AU13" s="21">
        <v>502.5</v>
      </c>
      <c r="AV13" s="21">
        <v>412.25</v>
      </c>
      <c r="AW13" s="31">
        <v>-17.960199004975099</v>
      </c>
      <c r="AX13" s="17" t="s">
        <v>22</v>
      </c>
      <c r="AY13" s="22">
        <v>45565</v>
      </c>
      <c r="AZ13" s="21">
        <v>480</v>
      </c>
      <c r="BA13" s="21">
        <v>422.5</v>
      </c>
      <c r="BB13" s="23">
        <v>-11.9791666666666</v>
      </c>
      <c r="BC13" t="s">
        <v>22</v>
      </c>
      <c r="BD13" s="22">
        <v>45572</v>
      </c>
      <c r="BE13" s="21">
        <v>515.75</v>
      </c>
      <c r="BF13" s="21">
        <v>422.75</v>
      </c>
      <c r="BG13" s="31">
        <v>-18.031992244304401</v>
      </c>
      <c r="BH13" s="35" t="s">
        <v>22</v>
      </c>
      <c r="BI13" s="22">
        <v>45579</v>
      </c>
      <c r="BJ13" s="21">
        <v>444.5</v>
      </c>
      <c r="BK13" s="21">
        <v>400.75</v>
      </c>
      <c r="BL13" s="21">
        <v>-9.8425196850393704</v>
      </c>
      <c r="BM13" s="17"/>
      <c r="BN13" s="1"/>
      <c r="BQ13" s="40"/>
      <c r="BR13" s="17"/>
      <c r="BS13" s="1"/>
      <c r="BV13" s="40"/>
      <c r="BW13" s="17"/>
      <c r="BX13" s="1"/>
      <c r="CA13" s="40"/>
      <c r="CB13" s="17" t="s">
        <v>22</v>
      </c>
      <c r="CC13" s="1">
        <v>45607</v>
      </c>
      <c r="CD13">
        <v>505</v>
      </c>
      <c r="CE13">
        <v>434.5</v>
      </c>
      <c r="CF13" s="40">
        <v>-13.9603960396039</v>
      </c>
      <c r="CG13" s="17" t="s">
        <v>22</v>
      </c>
      <c r="CH13" s="1">
        <v>45614</v>
      </c>
      <c r="CI13">
        <v>533.25</v>
      </c>
      <c r="CJ13">
        <v>440.75</v>
      </c>
      <c r="CK13" s="39">
        <v>-17.346460384435002</v>
      </c>
      <c r="CL13" s="17"/>
      <c r="CP13" s="40"/>
      <c r="CQ13" s="17" t="s">
        <v>22</v>
      </c>
      <c r="CR13" s="1">
        <v>45628</v>
      </c>
      <c r="CS13">
        <v>491</v>
      </c>
      <c r="CT13">
        <v>395.5</v>
      </c>
      <c r="CU13" s="40">
        <v>-19.450101832993798</v>
      </c>
      <c r="CV13" s="17" t="s">
        <v>22</v>
      </c>
      <c r="CW13" s="47">
        <v>45634</v>
      </c>
      <c r="CX13" s="46">
        <v>510.25</v>
      </c>
      <c r="CY13" s="46">
        <v>456.25</v>
      </c>
      <c r="CZ13" s="40">
        <v>-10.5830475257226</v>
      </c>
      <c r="DA13" s="9" t="s">
        <v>22</v>
      </c>
      <c r="DB13" s="11">
        <f t="shared" si="0"/>
        <v>461.53333333333336</v>
      </c>
      <c r="DC13" s="11">
        <f t="shared" si="1"/>
        <v>411.5</v>
      </c>
      <c r="DD13" s="12">
        <f t="shared" si="2"/>
        <v>9.5476073820022808E-2</v>
      </c>
      <c r="DE13" s="12">
        <f t="shared" si="3"/>
        <v>9.808219178082192E-2</v>
      </c>
      <c r="DF13" s="12">
        <f t="shared" si="4"/>
        <v>3.7726604605585495E-2</v>
      </c>
      <c r="DG13" s="12">
        <f t="shared" si="5"/>
        <v>0.13315068493150686</v>
      </c>
      <c r="DH13" s="12">
        <f t="shared" si="9"/>
        <v>0.34010416666666665</v>
      </c>
      <c r="DI13" s="12">
        <f t="shared" si="10"/>
        <v>0.28579881656804734</v>
      </c>
    </row>
    <row r="14" spans="1:114" ht="17" thickBot="1" x14ac:dyDescent="0.25">
      <c r="A14" t="s">
        <v>16</v>
      </c>
      <c r="B14" s="1">
        <v>45505</v>
      </c>
      <c r="C14">
        <v>381</v>
      </c>
      <c r="D14">
        <v>406.5</v>
      </c>
      <c r="E14">
        <v>6.2730627306273101</v>
      </c>
      <c r="G14" t="s">
        <v>16</v>
      </c>
      <c r="H14" s="1">
        <v>45512</v>
      </c>
      <c r="I14">
        <v>213.25</v>
      </c>
      <c r="J14">
        <v>315</v>
      </c>
      <c r="K14">
        <v>32.301587301587297</v>
      </c>
      <c r="M14" t="s">
        <v>16</v>
      </c>
      <c r="N14" s="1">
        <v>45517</v>
      </c>
      <c r="O14">
        <v>427.5</v>
      </c>
      <c r="P14">
        <v>431.75</v>
      </c>
      <c r="Q14">
        <v>0.98436595251881698</v>
      </c>
      <c r="S14" t="s">
        <v>16</v>
      </c>
      <c r="T14" s="1">
        <v>45522</v>
      </c>
      <c r="U14">
        <v>388.25</v>
      </c>
      <c r="V14">
        <v>366.25</v>
      </c>
      <c r="W14">
        <v>-5.6664520283322499</v>
      </c>
      <c r="Y14" t="s">
        <v>16</v>
      </c>
      <c r="Z14" s="1">
        <v>45530</v>
      </c>
      <c r="AA14">
        <v>396.5</v>
      </c>
      <c r="AB14">
        <v>376.5</v>
      </c>
      <c r="AC14">
        <v>-5.0441361916771701</v>
      </c>
      <c r="AD14" t="s">
        <v>16</v>
      </c>
      <c r="AE14" s="1">
        <v>45537</v>
      </c>
      <c r="AF14">
        <v>340.25</v>
      </c>
      <c r="AG14">
        <v>329.75</v>
      </c>
      <c r="AH14">
        <v>-3.0859662013225502</v>
      </c>
      <c r="AI14" t="s">
        <v>16</v>
      </c>
      <c r="AJ14" s="1">
        <v>45544</v>
      </c>
      <c r="AK14">
        <v>276</v>
      </c>
      <c r="AL14">
        <v>283.75</v>
      </c>
      <c r="AM14">
        <v>2.7312775330396399</v>
      </c>
      <c r="AN14" s="17"/>
      <c r="AS14" s="17"/>
      <c r="AX14" s="17"/>
      <c r="BB14" s="23"/>
      <c r="BC14" t="s">
        <v>16</v>
      </c>
      <c r="BD14" s="22">
        <v>45572</v>
      </c>
      <c r="BE14" s="21">
        <v>260.5</v>
      </c>
      <c r="BF14" s="21">
        <v>345.25</v>
      </c>
      <c r="BG14" s="31">
        <v>24.5474293989862</v>
      </c>
      <c r="BH14" s="35" t="s">
        <v>16</v>
      </c>
      <c r="BI14" s="22">
        <v>45579</v>
      </c>
      <c r="BJ14" s="21">
        <v>309.5</v>
      </c>
      <c r="BK14" s="21">
        <v>376.25</v>
      </c>
      <c r="BL14" s="31">
        <v>17.7408637873754</v>
      </c>
      <c r="BM14" s="17" t="s">
        <v>16</v>
      </c>
      <c r="BN14" s="1">
        <v>45586</v>
      </c>
      <c r="BO14">
        <v>343.5</v>
      </c>
      <c r="BP14">
        <v>337</v>
      </c>
      <c r="BQ14" s="40">
        <v>-1.8922852983988301</v>
      </c>
      <c r="BR14" s="17" t="s">
        <v>16</v>
      </c>
      <c r="BS14" s="1">
        <v>45592</v>
      </c>
      <c r="BT14">
        <v>306.75</v>
      </c>
      <c r="BU14">
        <v>327.75</v>
      </c>
      <c r="BV14" s="40">
        <v>6.4073226544622397</v>
      </c>
      <c r="BW14" s="17" t="s">
        <v>16</v>
      </c>
      <c r="BX14" s="1">
        <v>45600</v>
      </c>
      <c r="BY14">
        <v>277</v>
      </c>
      <c r="BZ14">
        <v>291</v>
      </c>
      <c r="CA14" s="40">
        <v>4.8109965635738803</v>
      </c>
      <c r="CB14" s="17" t="s">
        <v>16</v>
      </c>
      <c r="CC14" s="1">
        <v>45608</v>
      </c>
      <c r="CD14">
        <v>296</v>
      </c>
      <c r="CE14">
        <v>270</v>
      </c>
      <c r="CF14" s="40">
        <v>-8.9</v>
      </c>
      <c r="CG14" s="17" t="s">
        <v>16</v>
      </c>
      <c r="CH14" s="1">
        <v>45614</v>
      </c>
      <c r="CI14">
        <v>288</v>
      </c>
      <c r="CJ14">
        <v>241.5</v>
      </c>
      <c r="CK14" s="40">
        <v>-16.1458333333333</v>
      </c>
      <c r="CL14" s="17" t="s">
        <v>16</v>
      </c>
      <c r="CM14" s="1">
        <v>45621</v>
      </c>
      <c r="CN14">
        <v>315.5</v>
      </c>
      <c r="CO14">
        <v>244.75</v>
      </c>
      <c r="CP14" s="40">
        <v>-22.424722662440502</v>
      </c>
      <c r="CQ14" s="17" t="s">
        <v>16</v>
      </c>
      <c r="CR14" s="1">
        <v>45628</v>
      </c>
      <c r="CS14">
        <v>408.25</v>
      </c>
      <c r="CT14">
        <v>242</v>
      </c>
      <c r="CU14" s="40">
        <v>-40.722596448254698</v>
      </c>
      <c r="CV14" s="17"/>
      <c r="CW14" s="46"/>
      <c r="CX14" s="46"/>
      <c r="CY14" s="46"/>
      <c r="CZ14" s="40"/>
      <c r="DA14" s="9" t="s">
        <v>16</v>
      </c>
      <c r="DB14" s="11">
        <f t="shared" si="0"/>
        <v>330.11666666666667</v>
      </c>
      <c r="DC14" s="11">
        <f t="shared" si="1"/>
        <v>326.75</v>
      </c>
      <c r="DD14" s="12" t="e">
        <f t="shared" si="2"/>
        <v>#DIV/0!</v>
      </c>
      <c r="DE14" s="12" t="e">
        <f t="shared" si="3"/>
        <v>#DIV/0!</v>
      </c>
      <c r="DF14" s="12" t="e">
        <f t="shared" si="4"/>
        <v>#DIV/0!</v>
      </c>
      <c r="DG14" s="12" t="e">
        <f t="shared" si="5"/>
        <v>#DIV/0!</v>
      </c>
      <c r="DH14" s="12" t="e">
        <f t="shared" si="9"/>
        <v>#DIV/0!</v>
      </c>
      <c r="DI14" s="12" t="e">
        <f t="shared" si="10"/>
        <v>#DIV/0!</v>
      </c>
    </row>
    <row r="15" spans="1:114" ht="17" thickBot="1" x14ac:dyDescent="0.25">
      <c r="A15" t="s">
        <v>34</v>
      </c>
      <c r="B15" s="1">
        <v>45505</v>
      </c>
      <c r="C15">
        <v>340.75</v>
      </c>
      <c r="D15">
        <v>305.5</v>
      </c>
      <c r="E15">
        <v>-10.344827586206801</v>
      </c>
      <c r="G15" t="s">
        <v>34</v>
      </c>
      <c r="H15" s="1">
        <v>45512</v>
      </c>
      <c r="I15">
        <v>337.75</v>
      </c>
      <c r="J15">
        <v>329.25</v>
      </c>
      <c r="K15">
        <v>-2.5166543301258302</v>
      </c>
      <c r="M15" t="s">
        <v>34</v>
      </c>
      <c r="N15" s="1">
        <v>45517</v>
      </c>
      <c r="O15">
        <v>343</v>
      </c>
      <c r="P15">
        <v>369.25</v>
      </c>
      <c r="Q15">
        <v>7.1090047393364797</v>
      </c>
      <c r="S15" t="s">
        <v>34</v>
      </c>
      <c r="T15" s="1">
        <v>45522</v>
      </c>
      <c r="U15">
        <v>355.5</v>
      </c>
      <c r="V15">
        <v>369.75</v>
      </c>
      <c r="W15">
        <v>3.8539553752535398</v>
      </c>
      <c r="AN15" s="17"/>
      <c r="AS15" s="17"/>
      <c r="AX15" s="17"/>
      <c r="BB15" s="23"/>
      <c r="BC15" t="s">
        <v>34</v>
      </c>
      <c r="BD15" s="22">
        <v>45572</v>
      </c>
      <c r="BE15" s="21">
        <v>362.25</v>
      </c>
      <c r="BF15" s="21">
        <v>368.75</v>
      </c>
      <c r="BG15" s="21">
        <v>1.7627118644067801</v>
      </c>
      <c r="BH15" s="35"/>
      <c r="BI15" s="22"/>
      <c r="BM15" s="17"/>
      <c r="BN15" s="1"/>
      <c r="BQ15" s="40"/>
      <c r="BR15" s="17"/>
      <c r="BS15" s="1"/>
      <c r="BV15" s="40"/>
      <c r="BW15" s="17"/>
      <c r="BX15" s="1"/>
      <c r="CA15" s="40"/>
      <c r="CB15" s="17"/>
      <c r="CC15" s="1"/>
      <c r="CF15" s="40"/>
      <c r="CG15" s="17"/>
      <c r="CH15" s="1"/>
      <c r="CK15" s="40"/>
      <c r="CL15" s="17"/>
      <c r="CP15" s="40"/>
      <c r="CQ15" s="17"/>
      <c r="CR15" s="1"/>
      <c r="CU15" s="40"/>
      <c r="CV15" s="17" t="s">
        <v>34</v>
      </c>
      <c r="CW15" s="47">
        <v>45635</v>
      </c>
      <c r="CX15" s="46">
        <v>422</v>
      </c>
      <c r="CY15" s="46">
        <v>365.75</v>
      </c>
      <c r="CZ15" s="40">
        <v>-13.329383886255901</v>
      </c>
      <c r="DA15" s="9" t="s">
        <v>34</v>
      </c>
      <c r="DB15" s="11">
        <f t="shared" si="0"/>
        <v>360.20833333333331</v>
      </c>
      <c r="DC15" s="11">
        <f t="shared" si="1"/>
        <v>351.375</v>
      </c>
      <c r="DD15" s="12">
        <f t="shared" si="2"/>
        <v>0.14642575039494476</v>
      </c>
      <c r="DE15" s="12">
        <f t="shared" si="3"/>
        <v>3.93028024606972E-2</v>
      </c>
      <c r="DF15" s="12">
        <f t="shared" si="4"/>
        <v>1</v>
      </c>
      <c r="DG15" s="12">
        <f t="shared" si="5"/>
        <v>1</v>
      </c>
      <c r="DH15" s="12" t="e">
        <f t="shared" si="9"/>
        <v>#DIV/0!</v>
      </c>
      <c r="DI15" s="12" t="e">
        <f t="shared" si="10"/>
        <v>#DIV/0!</v>
      </c>
    </row>
    <row r="16" spans="1:114" ht="17" thickBot="1" x14ac:dyDescent="0.25">
      <c r="A16" t="s">
        <v>18</v>
      </c>
      <c r="B16" s="1">
        <v>45505</v>
      </c>
      <c r="C16">
        <v>317.25</v>
      </c>
      <c r="D16">
        <v>319.75</v>
      </c>
      <c r="E16">
        <v>0.78186082877247298</v>
      </c>
      <c r="G16" t="s">
        <v>18</v>
      </c>
      <c r="H16" s="1">
        <v>45512</v>
      </c>
      <c r="I16">
        <v>380.5</v>
      </c>
      <c r="J16">
        <v>375.75</v>
      </c>
      <c r="K16">
        <v>-1.2483574244415201</v>
      </c>
      <c r="M16" t="s">
        <v>18</v>
      </c>
      <c r="N16" s="1">
        <v>45517</v>
      </c>
      <c r="O16">
        <v>361.5</v>
      </c>
      <c r="P16">
        <v>356.5</v>
      </c>
      <c r="Q16">
        <v>-1.3831258644536599</v>
      </c>
      <c r="S16" t="s">
        <v>18</v>
      </c>
      <c r="T16" s="1">
        <v>45522</v>
      </c>
      <c r="U16">
        <v>377</v>
      </c>
      <c r="V16">
        <v>356</v>
      </c>
      <c r="W16">
        <v>-5.5702917771883298</v>
      </c>
      <c r="Y16" t="s">
        <v>18</v>
      </c>
      <c r="Z16" s="1">
        <v>45530</v>
      </c>
      <c r="AA16">
        <v>401.75</v>
      </c>
      <c r="AB16">
        <v>366.5</v>
      </c>
      <c r="AC16">
        <v>-8.7741132545115104</v>
      </c>
      <c r="AD16" t="s">
        <v>18</v>
      </c>
      <c r="AE16" s="1">
        <v>45537</v>
      </c>
      <c r="AF16">
        <v>361.25</v>
      </c>
      <c r="AG16">
        <v>362.5</v>
      </c>
      <c r="AH16">
        <v>0.34482758620689702</v>
      </c>
      <c r="AI16" t="s">
        <v>18</v>
      </c>
      <c r="AJ16" s="1">
        <v>45544</v>
      </c>
      <c r="AK16">
        <v>381.75</v>
      </c>
      <c r="AL16">
        <v>368.75</v>
      </c>
      <c r="AM16">
        <v>-3.40537000654879</v>
      </c>
      <c r="AN16" s="17" t="s">
        <v>18</v>
      </c>
      <c r="AO16" s="1">
        <v>45551</v>
      </c>
      <c r="AP16">
        <v>421.75</v>
      </c>
      <c r="AQ16">
        <v>404.5</v>
      </c>
      <c r="AR16">
        <v>-4.0901007705986903</v>
      </c>
      <c r="AS16" s="17" t="s">
        <v>18</v>
      </c>
      <c r="AT16" s="22">
        <v>45558</v>
      </c>
      <c r="AU16" s="21">
        <v>421.75</v>
      </c>
      <c r="AV16" s="21">
        <v>379.75</v>
      </c>
      <c r="AW16" s="21">
        <v>-9.9585062240663795</v>
      </c>
      <c r="AX16" s="17" t="s">
        <v>18</v>
      </c>
      <c r="AY16" s="22">
        <v>45565</v>
      </c>
      <c r="AZ16" s="21">
        <v>427.75</v>
      </c>
      <c r="BA16" s="21">
        <v>313.75</v>
      </c>
      <c r="BB16" s="23">
        <v>-26.6510812390414</v>
      </c>
      <c r="BC16" t="s">
        <v>18</v>
      </c>
      <c r="BD16" s="22">
        <v>45572</v>
      </c>
      <c r="BE16" s="21">
        <v>397</v>
      </c>
      <c r="BF16" s="21">
        <v>359.25</v>
      </c>
      <c r="BG16" s="21">
        <v>-9.5088161209068005</v>
      </c>
      <c r="BH16" s="35" t="s">
        <v>18</v>
      </c>
      <c r="BI16" s="22">
        <v>45579</v>
      </c>
      <c r="BJ16" s="21">
        <v>414.5</v>
      </c>
      <c r="BK16" s="21">
        <v>367.75</v>
      </c>
      <c r="BL16" s="21">
        <v>-11.278648974668201</v>
      </c>
      <c r="BM16" s="17" t="s">
        <v>18</v>
      </c>
      <c r="BN16" s="1">
        <v>45586</v>
      </c>
      <c r="BO16">
        <v>409.5</v>
      </c>
      <c r="BP16">
        <v>390</v>
      </c>
      <c r="BQ16" s="40">
        <v>-4.7619047619047601</v>
      </c>
      <c r="BR16" s="17" t="s">
        <v>18</v>
      </c>
      <c r="BS16" s="1">
        <v>45592</v>
      </c>
      <c r="BT16">
        <v>443.5</v>
      </c>
      <c r="BU16">
        <v>388.75</v>
      </c>
      <c r="BV16" s="40">
        <v>-12.3449830890642</v>
      </c>
      <c r="BW16" s="17" t="s">
        <v>18</v>
      </c>
      <c r="BX16" s="1">
        <v>45600</v>
      </c>
      <c r="BY16">
        <v>417.75</v>
      </c>
      <c r="BZ16">
        <v>370.75</v>
      </c>
      <c r="CA16" s="40">
        <v>-11.2507480550568</v>
      </c>
      <c r="CB16" s="17" t="s">
        <v>18</v>
      </c>
      <c r="CC16" s="1">
        <v>45607</v>
      </c>
      <c r="CD16">
        <v>413.25</v>
      </c>
      <c r="CE16">
        <v>369.25</v>
      </c>
      <c r="CF16" s="40">
        <v>-10.647307924984799</v>
      </c>
      <c r="CG16" s="17" t="s">
        <v>18</v>
      </c>
      <c r="CH16" s="1">
        <v>45614</v>
      </c>
      <c r="CI16">
        <v>391.25</v>
      </c>
      <c r="CJ16">
        <v>382</v>
      </c>
      <c r="CK16" s="40">
        <v>-2.36421725239616</v>
      </c>
      <c r="CL16" s="17" t="s">
        <v>18</v>
      </c>
      <c r="CM16" s="1">
        <v>45621</v>
      </c>
      <c r="CN16">
        <v>379.5</v>
      </c>
      <c r="CO16">
        <v>359.5</v>
      </c>
      <c r="CP16" s="40">
        <v>-5.2700922266139596</v>
      </c>
      <c r="CQ16" s="17" t="s">
        <v>18</v>
      </c>
      <c r="CR16" s="1">
        <v>45628</v>
      </c>
      <c r="CS16">
        <v>410.75</v>
      </c>
      <c r="CT16">
        <v>382.25</v>
      </c>
      <c r="CU16" s="40">
        <v>-6.9385270846013398</v>
      </c>
      <c r="CV16" s="17" t="s">
        <v>18</v>
      </c>
      <c r="CW16" s="47">
        <v>45635</v>
      </c>
      <c r="CX16" s="46">
        <v>410.25</v>
      </c>
      <c r="CY16" s="46">
        <v>377.25</v>
      </c>
      <c r="CZ16" s="40">
        <v>-8.0438756855575893</v>
      </c>
      <c r="DA16" s="9" t="s">
        <v>18</v>
      </c>
      <c r="DB16" s="11">
        <f t="shared" si="0"/>
        <v>397.7763157894737</v>
      </c>
      <c r="DC16" s="11">
        <f t="shared" si="1"/>
        <v>367.46052631578948</v>
      </c>
      <c r="DD16" s="12">
        <f t="shared" si="2"/>
        <v>3.0405080342538211E-2</v>
      </c>
      <c r="DE16" s="12">
        <f t="shared" si="3"/>
        <v>2.5949565763314832E-2</v>
      </c>
      <c r="DF16" s="12">
        <f t="shared" si="4"/>
        <v>-1.2187690432663011E-3</v>
      </c>
      <c r="DG16" s="12">
        <f t="shared" si="5"/>
        <v>-1.3253810470510271E-2</v>
      </c>
      <c r="DH16" s="12">
        <f t="shared" si="9"/>
        <v>0.25832846288720046</v>
      </c>
      <c r="DI16" s="12">
        <f t="shared" si="10"/>
        <v>-1.9123505976095617E-2</v>
      </c>
    </row>
    <row r="17" spans="1:113" ht="17" thickBot="1" x14ac:dyDescent="0.25">
      <c r="A17" t="s">
        <v>33</v>
      </c>
      <c r="B17" s="1">
        <v>45505</v>
      </c>
      <c r="C17">
        <v>375</v>
      </c>
      <c r="D17">
        <v>346.25</v>
      </c>
      <c r="E17">
        <v>-7.6666666666666599</v>
      </c>
      <c r="G17" t="s">
        <v>33</v>
      </c>
      <c r="H17" s="1">
        <v>45512</v>
      </c>
      <c r="I17">
        <v>388.5</v>
      </c>
      <c r="J17">
        <v>366</v>
      </c>
      <c r="K17">
        <v>-5.7915057915057897</v>
      </c>
      <c r="M17" t="s">
        <v>33</v>
      </c>
      <c r="N17" s="1">
        <v>45517</v>
      </c>
      <c r="O17">
        <v>405</v>
      </c>
      <c r="P17">
        <v>364</v>
      </c>
      <c r="Q17">
        <v>-10.1234567901234</v>
      </c>
      <c r="S17" t="s">
        <v>33</v>
      </c>
      <c r="T17" s="1">
        <v>45522</v>
      </c>
      <c r="U17">
        <v>422.25</v>
      </c>
      <c r="V17">
        <v>380.25</v>
      </c>
      <c r="W17">
        <v>-9.9467140319715792</v>
      </c>
      <c r="AN17" s="17"/>
      <c r="AS17" s="17"/>
      <c r="AX17" s="17"/>
      <c r="BB17" s="23"/>
      <c r="BD17" s="22"/>
      <c r="BH17" s="35"/>
      <c r="BI17" s="22"/>
      <c r="BM17" s="17"/>
      <c r="BN17" s="1"/>
      <c r="BQ17" s="40"/>
      <c r="BR17" s="17"/>
      <c r="BS17" s="1"/>
      <c r="BV17" s="40"/>
      <c r="BW17" s="17"/>
      <c r="BX17" s="1"/>
      <c r="CA17" s="40"/>
      <c r="CB17" s="17"/>
      <c r="CC17" s="1"/>
      <c r="CF17" s="40"/>
      <c r="CG17" s="17"/>
      <c r="CH17" s="1"/>
      <c r="CK17" s="40"/>
      <c r="CL17" s="17"/>
      <c r="CP17" s="40"/>
      <c r="CQ17" s="17"/>
      <c r="CR17" s="1"/>
      <c r="CU17" s="40"/>
      <c r="CV17" s="17"/>
      <c r="CW17" s="46"/>
      <c r="CX17" s="46"/>
      <c r="CY17" s="46"/>
      <c r="CZ17" s="40"/>
      <c r="DA17" s="9" t="s">
        <v>33</v>
      </c>
      <c r="DB17" s="11">
        <f t="shared" si="0"/>
        <v>397.6875</v>
      </c>
      <c r="DC17" s="11">
        <f t="shared" si="1"/>
        <v>364.125</v>
      </c>
      <c r="DD17" s="12" t="e">
        <f t="shared" si="2"/>
        <v>#DIV/0!</v>
      </c>
      <c r="DE17" s="12" t="e">
        <f t="shared" si="3"/>
        <v>#DIV/0!</v>
      </c>
      <c r="DF17" s="12" t="e">
        <f t="shared" si="4"/>
        <v>#DIV/0!</v>
      </c>
      <c r="DG17" s="12" t="e">
        <f t="shared" si="5"/>
        <v>#DIV/0!</v>
      </c>
      <c r="DH17" s="12" t="e">
        <f t="shared" si="9"/>
        <v>#DIV/0!</v>
      </c>
      <c r="DI17" s="12" t="e">
        <f t="shared" si="10"/>
        <v>#DIV/0!</v>
      </c>
    </row>
    <row r="18" spans="1:113" ht="17" thickBot="1" x14ac:dyDescent="0.25">
      <c r="A18" t="s">
        <v>7</v>
      </c>
      <c r="B18" s="1">
        <v>45505</v>
      </c>
      <c r="C18">
        <v>428.75</v>
      </c>
      <c r="D18">
        <v>403.75</v>
      </c>
      <c r="E18">
        <v>-5.8309037900874596</v>
      </c>
      <c r="G18" t="s">
        <v>7</v>
      </c>
      <c r="H18" s="1">
        <v>45512</v>
      </c>
      <c r="I18">
        <v>422.25</v>
      </c>
      <c r="J18">
        <v>398.5</v>
      </c>
      <c r="K18">
        <v>-5.6246299585553601</v>
      </c>
      <c r="M18" t="s">
        <v>7</v>
      </c>
      <c r="N18" s="1">
        <v>45517</v>
      </c>
      <c r="O18">
        <v>455.5</v>
      </c>
      <c r="P18">
        <v>426</v>
      </c>
      <c r="Q18">
        <v>-6.4763995609220597</v>
      </c>
      <c r="S18" t="s">
        <v>7</v>
      </c>
      <c r="T18" s="1">
        <v>45522</v>
      </c>
      <c r="U18">
        <v>432.75</v>
      </c>
      <c r="V18">
        <v>400.25</v>
      </c>
      <c r="W18">
        <v>-7.5101097631426903</v>
      </c>
      <c r="Y18" t="s">
        <v>7</v>
      </c>
      <c r="Z18" s="1">
        <v>45530</v>
      </c>
      <c r="AA18">
        <v>449.75</v>
      </c>
      <c r="AB18">
        <v>399</v>
      </c>
      <c r="AC18">
        <v>-11.284046692606999</v>
      </c>
      <c r="AD18" t="s">
        <v>7</v>
      </c>
      <c r="AE18" s="1">
        <v>45537</v>
      </c>
      <c r="AF18">
        <v>407</v>
      </c>
      <c r="AG18">
        <v>375.75</v>
      </c>
      <c r="AH18">
        <v>-7.6781326781326698</v>
      </c>
      <c r="AI18" t="s">
        <v>7</v>
      </c>
      <c r="AJ18" s="1">
        <v>45544</v>
      </c>
      <c r="AK18">
        <v>402.5</v>
      </c>
      <c r="AL18">
        <v>353.25</v>
      </c>
      <c r="AM18">
        <v>-12.236024844720401</v>
      </c>
      <c r="AN18" s="17" t="s">
        <v>7</v>
      </c>
      <c r="AO18" s="1">
        <v>45551</v>
      </c>
      <c r="AP18">
        <v>413</v>
      </c>
      <c r="AQ18">
        <v>380.5</v>
      </c>
      <c r="AR18">
        <v>-7.8692493946731199</v>
      </c>
      <c r="AS18" s="17" t="s">
        <v>7</v>
      </c>
      <c r="AT18" s="22">
        <v>45558</v>
      </c>
      <c r="AU18" s="21">
        <v>417</v>
      </c>
      <c r="AV18" s="21">
        <v>379.5</v>
      </c>
      <c r="AW18" s="21">
        <v>-8.9928057553956808</v>
      </c>
      <c r="AX18" s="17" t="s">
        <v>7</v>
      </c>
      <c r="AY18" s="22">
        <v>45565</v>
      </c>
      <c r="AZ18" s="21">
        <v>421.5</v>
      </c>
      <c r="BA18" s="21">
        <v>378.25</v>
      </c>
      <c r="BB18" s="23">
        <v>-10.2609727164887</v>
      </c>
      <c r="BC18" t="s">
        <v>7</v>
      </c>
      <c r="BD18" s="22">
        <v>45572</v>
      </c>
      <c r="BE18" s="21">
        <v>453.75</v>
      </c>
      <c r="BF18" s="21">
        <v>402</v>
      </c>
      <c r="BG18" s="21">
        <v>-11.404958677685901</v>
      </c>
      <c r="BH18" s="35" t="s">
        <v>7</v>
      </c>
      <c r="BI18" s="22">
        <v>45579</v>
      </c>
      <c r="BJ18" s="21">
        <v>426.5</v>
      </c>
      <c r="BK18" s="21">
        <v>391.75</v>
      </c>
      <c r="BL18" s="21">
        <v>-8.1477139507620109</v>
      </c>
      <c r="BM18" s="17" t="s">
        <v>7</v>
      </c>
      <c r="BN18" s="1">
        <v>45586</v>
      </c>
      <c r="BO18">
        <v>428.5</v>
      </c>
      <c r="BP18">
        <v>383.25</v>
      </c>
      <c r="BQ18" s="40">
        <v>-10.5600933488914</v>
      </c>
      <c r="BR18" s="17" t="s">
        <v>7</v>
      </c>
      <c r="BS18" s="1">
        <v>45593</v>
      </c>
      <c r="BT18">
        <v>469.5</v>
      </c>
      <c r="BU18">
        <v>413.25</v>
      </c>
      <c r="BV18" s="40">
        <v>-11.980830670926499</v>
      </c>
      <c r="BW18" s="17" t="s">
        <v>7</v>
      </c>
      <c r="BX18" s="1">
        <v>45600</v>
      </c>
      <c r="BY18">
        <v>469.25</v>
      </c>
      <c r="BZ18">
        <v>397.5</v>
      </c>
      <c r="CA18" s="39">
        <v>-15.290356952583901</v>
      </c>
      <c r="CB18" s="17" t="s">
        <v>7</v>
      </c>
      <c r="CC18" s="1">
        <v>45607</v>
      </c>
      <c r="CD18">
        <v>465.75</v>
      </c>
      <c r="CE18">
        <v>411.25</v>
      </c>
      <c r="CF18" s="40">
        <v>-11.701556629092799</v>
      </c>
      <c r="CG18" s="17" t="s">
        <v>7</v>
      </c>
      <c r="CH18" s="1">
        <v>45614</v>
      </c>
      <c r="CI18">
        <v>475.75</v>
      </c>
      <c r="CJ18">
        <v>424.25</v>
      </c>
      <c r="CK18" s="40">
        <v>-10.825013137151799</v>
      </c>
      <c r="CL18" s="17" t="s">
        <v>7</v>
      </c>
      <c r="CM18" s="1">
        <v>45621</v>
      </c>
      <c r="CN18">
        <v>446.5</v>
      </c>
      <c r="CO18">
        <v>401.75</v>
      </c>
      <c r="CP18" s="40">
        <v>-10.022396416573301</v>
      </c>
      <c r="CQ18" s="17" t="s">
        <v>7</v>
      </c>
      <c r="CR18" s="1">
        <v>45628</v>
      </c>
      <c r="CS18">
        <v>454.5</v>
      </c>
      <c r="CT18">
        <v>418.25</v>
      </c>
      <c r="CU18" s="40">
        <v>-7.9757975797579697</v>
      </c>
      <c r="CV18" s="17" t="s">
        <v>7</v>
      </c>
      <c r="CW18" s="47">
        <v>45635</v>
      </c>
      <c r="CX18" s="46">
        <v>435</v>
      </c>
      <c r="CY18" s="46">
        <v>409</v>
      </c>
      <c r="CZ18" s="40">
        <v>-5.9770114942528698</v>
      </c>
      <c r="DA18" s="9" t="s">
        <v>7</v>
      </c>
      <c r="DB18" s="11">
        <f t="shared" si="0"/>
        <v>440.65789473684208</v>
      </c>
      <c r="DC18" s="11">
        <f t="shared" si="1"/>
        <v>399.67105263157896</v>
      </c>
      <c r="DD18" s="12">
        <f t="shared" si="2"/>
        <v>-1.300665456745306E-2</v>
      </c>
      <c r="DE18" s="12">
        <f t="shared" si="3"/>
        <v>2.2809162269978093E-2</v>
      </c>
      <c r="DF18" s="12">
        <f t="shared" si="4"/>
        <v>-4.4827586206896551E-2</v>
      </c>
      <c r="DG18" s="12">
        <f t="shared" si="5"/>
        <v>-2.2616136919315404E-2</v>
      </c>
      <c r="DH18" s="12">
        <f t="shared" si="9"/>
        <v>-1.7200474495848161E-2</v>
      </c>
      <c r="DI18" s="12">
        <f t="shared" si="10"/>
        <v>-6.741573033707865E-2</v>
      </c>
    </row>
    <row r="19" spans="1:113" ht="17" thickBot="1" x14ac:dyDescent="0.25">
      <c r="A19" t="s">
        <v>17</v>
      </c>
      <c r="B19" s="1">
        <v>45505</v>
      </c>
      <c r="C19">
        <v>357.25</v>
      </c>
      <c r="D19">
        <v>349.25</v>
      </c>
      <c r="E19">
        <v>-2.2393282015395299</v>
      </c>
      <c r="G19" t="s">
        <v>17</v>
      </c>
      <c r="H19" s="1">
        <v>45512</v>
      </c>
      <c r="I19">
        <v>384.25</v>
      </c>
      <c r="J19">
        <v>388</v>
      </c>
      <c r="K19">
        <v>0.96649484536082098</v>
      </c>
      <c r="M19" t="s">
        <v>17</v>
      </c>
      <c r="N19" s="1">
        <v>45517</v>
      </c>
      <c r="O19">
        <v>374.5</v>
      </c>
      <c r="P19">
        <v>367.5</v>
      </c>
      <c r="Q19">
        <v>-1.86915887850467</v>
      </c>
      <c r="S19" t="s">
        <v>17</v>
      </c>
      <c r="T19" s="1">
        <v>45522</v>
      </c>
      <c r="U19">
        <v>361</v>
      </c>
      <c r="V19">
        <v>372</v>
      </c>
      <c r="W19">
        <v>2.95698924731182</v>
      </c>
      <c r="Y19" t="s">
        <v>17</v>
      </c>
      <c r="Z19" s="1">
        <v>45530</v>
      </c>
      <c r="AA19">
        <v>407.25</v>
      </c>
      <c r="AB19">
        <v>342</v>
      </c>
      <c r="AC19">
        <v>-16.022099447513799</v>
      </c>
      <c r="AD19" t="s">
        <v>17</v>
      </c>
      <c r="AE19" s="1">
        <v>45537</v>
      </c>
      <c r="AF19">
        <v>446.75</v>
      </c>
      <c r="AG19">
        <v>404.75</v>
      </c>
      <c r="AH19">
        <v>-9.4012311135982003</v>
      </c>
      <c r="AI19" t="s">
        <v>17</v>
      </c>
      <c r="AJ19" s="1">
        <v>45544</v>
      </c>
      <c r="AK19">
        <v>392</v>
      </c>
      <c r="AL19">
        <v>405.5</v>
      </c>
      <c r="AM19">
        <v>3.3292231812576998</v>
      </c>
      <c r="AN19" s="17" t="s">
        <v>17</v>
      </c>
      <c r="AO19" s="1">
        <v>45551</v>
      </c>
      <c r="AP19">
        <v>410.5</v>
      </c>
      <c r="AQ19">
        <v>403.25</v>
      </c>
      <c r="AR19">
        <v>-1.7661388550548101</v>
      </c>
      <c r="AS19" s="17" t="s">
        <v>17</v>
      </c>
      <c r="AT19" s="22">
        <v>45558</v>
      </c>
      <c r="AU19" s="21">
        <v>438.25</v>
      </c>
      <c r="AV19" s="21">
        <v>409.75</v>
      </c>
      <c r="AW19" s="21">
        <v>-6.5031374786081004</v>
      </c>
      <c r="AX19" s="17" t="s">
        <v>17</v>
      </c>
      <c r="AY19" s="22">
        <v>45565</v>
      </c>
      <c r="AZ19" s="21">
        <v>368</v>
      </c>
      <c r="BA19" s="21">
        <v>370.5</v>
      </c>
      <c r="BB19" s="23">
        <v>0.67476383265856399</v>
      </c>
      <c r="BC19" t="s">
        <v>17</v>
      </c>
      <c r="BD19" s="22">
        <v>45572</v>
      </c>
      <c r="BE19" s="21">
        <v>399</v>
      </c>
      <c r="BF19" s="21">
        <v>386.25</v>
      </c>
      <c r="BG19" s="21">
        <v>-3.1954887218044998</v>
      </c>
      <c r="BH19" s="35" t="s">
        <v>17</v>
      </c>
      <c r="BI19" s="22">
        <v>45579</v>
      </c>
      <c r="BJ19" s="21">
        <v>378.75</v>
      </c>
      <c r="BK19" s="21">
        <v>357</v>
      </c>
      <c r="BL19" s="21">
        <v>-5.7425742574257397</v>
      </c>
      <c r="BM19" s="17" t="s">
        <v>17</v>
      </c>
      <c r="BN19" s="1">
        <v>45586</v>
      </c>
      <c r="BO19">
        <v>326.75</v>
      </c>
      <c r="BP19">
        <v>293.75</v>
      </c>
      <c r="BQ19" s="40">
        <v>-10.0994644223412</v>
      </c>
      <c r="BR19" s="17" t="s">
        <v>17</v>
      </c>
      <c r="BS19" s="1">
        <v>45592</v>
      </c>
      <c r="BT19">
        <v>355.5</v>
      </c>
      <c r="BU19">
        <v>363.5</v>
      </c>
      <c r="BV19" s="40">
        <v>2.2008253094910599</v>
      </c>
      <c r="BW19" s="17" t="s">
        <v>17</v>
      </c>
      <c r="BX19" s="1">
        <v>45600</v>
      </c>
      <c r="BY19">
        <v>338.25</v>
      </c>
      <c r="BZ19">
        <v>339.75</v>
      </c>
      <c r="CA19" s="40">
        <v>0.44150110375276103</v>
      </c>
      <c r="CB19" s="17" t="s">
        <v>17</v>
      </c>
      <c r="CC19" s="1">
        <v>45607</v>
      </c>
      <c r="CD19">
        <v>348</v>
      </c>
      <c r="CE19">
        <v>331</v>
      </c>
      <c r="CF19" s="40">
        <v>-4.8850574712643597</v>
      </c>
      <c r="CG19" s="17" t="s">
        <v>17</v>
      </c>
      <c r="CH19" s="1">
        <v>45614</v>
      </c>
      <c r="CI19">
        <v>397.5</v>
      </c>
      <c r="CJ19">
        <v>438.5</v>
      </c>
      <c r="CK19" s="40">
        <v>9.3500570125427505</v>
      </c>
      <c r="CL19" s="17" t="s">
        <v>17</v>
      </c>
      <c r="CM19" s="1">
        <v>45621</v>
      </c>
      <c r="CN19">
        <v>270.75</v>
      </c>
      <c r="CO19">
        <v>380</v>
      </c>
      <c r="CP19" s="40">
        <v>28.749999999999901</v>
      </c>
      <c r="CQ19" s="17" t="s">
        <v>17</v>
      </c>
      <c r="CR19" s="1">
        <v>45628</v>
      </c>
      <c r="CS19">
        <v>362.5</v>
      </c>
      <c r="CT19">
        <v>380.5</v>
      </c>
      <c r="CU19" s="40">
        <v>4.7306176084099798</v>
      </c>
      <c r="CV19" s="17" t="s">
        <v>17</v>
      </c>
      <c r="CW19" s="47">
        <v>45634</v>
      </c>
      <c r="CX19" s="46">
        <v>339.5</v>
      </c>
      <c r="CY19" s="46">
        <v>366.5</v>
      </c>
      <c r="CZ19" s="40">
        <v>7.3669849931787104</v>
      </c>
      <c r="DA19" s="9" t="s">
        <v>17</v>
      </c>
      <c r="DB19" s="11">
        <f t="shared" si="0"/>
        <v>371.80263157894734</v>
      </c>
      <c r="DC19" s="11">
        <f t="shared" si="1"/>
        <v>370.7236842105263</v>
      </c>
      <c r="DD19" s="12">
        <f t="shared" si="2"/>
        <v>-9.514766297186257E-2</v>
      </c>
      <c r="DE19" s="12">
        <f t="shared" si="3"/>
        <v>-1.152437710921228E-2</v>
      </c>
      <c r="DF19" s="12">
        <f t="shared" si="4"/>
        <v>-6.774668630338733E-2</v>
      </c>
      <c r="DG19" s="12">
        <f t="shared" si="5"/>
        <v>-3.8199181446111868E-2</v>
      </c>
      <c r="DH19" s="12">
        <f t="shared" si="9"/>
        <v>2.9211956521739132E-2</v>
      </c>
      <c r="DI19" s="12">
        <f t="shared" si="10"/>
        <v>5.7354925775978408E-2</v>
      </c>
    </row>
    <row r="20" spans="1:113" ht="17" thickBot="1" x14ac:dyDescent="0.25">
      <c r="A20" t="s">
        <v>5</v>
      </c>
      <c r="B20" s="1">
        <v>45505</v>
      </c>
      <c r="C20">
        <v>493.25</v>
      </c>
      <c r="D20">
        <v>481.25</v>
      </c>
      <c r="E20">
        <v>-2.43284338570703</v>
      </c>
      <c r="G20" t="s">
        <v>5</v>
      </c>
      <c r="H20" s="1">
        <v>45513</v>
      </c>
      <c r="I20">
        <v>472.25</v>
      </c>
      <c r="J20">
        <v>452.75</v>
      </c>
      <c r="K20">
        <v>-4.1291688724192603</v>
      </c>
      <c r="M20" t="s">
        <v>5</v>
      </c>
      <c r="N20" s="1">
        <v>45517</v>
      </c>
      <c r="O20">
        <v>489.25</v>
      </c>
      <c r="P20">
        <v>459.25</v>
      </c>
      <c r="Q20">
        <v>-6.1318344404701</v>
      </c>
      <c r="S20" t="s">
        <v>5</v>
      </c>
      <c r="T20" s="1">
        <v>45522</v>
      </c>
      <c r="U20">
        <v>484</v>
      </c>
      <c r="V20">
        <v>452.25</v>
      </c>
      <c r="W20">
        <v>-6.5599173553719003</v>
      </c>
      <c r="Y20" t="s">
        <v>5</v>
      </c>
      <c r="Z20" s="1">
        <v>45530</v>
      </c>
      <c r="AA20">
        <v>570.75</v>
      </c>
      <c r="AB20">
        <v>471.75</v>
      </c>
      <c r="AC20" s="13">
        <v>-17.3455978975032</v>
      </c>
      <c r="AD20" t="s">
        <v>5</v>
      </c>
      <c r="AE20" s="1">
        <v>45537</v>
      </c>
      <c r="AF20">
        <v>568</v>
      </c>
      <c r="AG20">
        <v>507.25</v>
      </c>
      <c r="AH20">
        <v>-10.6954225352112</v>
      </c>
      <c r="AI20" t="s">
        <v>5</v>
      </c>
      <c r="AJ20" s="1">
        <v>45544</v>
      </c>
      <c r="AK20">
        <v>533.75</v>
      </c>
      <c r="AL20">
        <v>481.25</v>
      </c>
      <c r="AM20">
        <v>-9.8360655737704903</v>
      </c>
      <c r="AN20" s="17" t="s">
        <v>5</v>
      </c>
      <c r="AO20" s="1">
        <v>45551</v>
      </c>
      <c r="AP20">
        <v>454.25</v>
      </c>
      <c r="AQ20">
        <v>443.25</v>
      </c>
      <c r="AR20">
        <v>-2.4215740231150198</v>
      </c>
      <c r="AS20" s="17" t="s">
        <v>5</v>
      </c>
      <c r="AT20" s="22">
        <v>45558</v>
      </c>
      <c r="AU20" s="21">
        <v>516.5</v>
      </c>
      <c r="AV20" s="21">
        <v>472.75</v>
      </c>
      <c r="AW20" s="21">
        <v>-8.4704743465633996</v>
      </c>
      <c r="AX20" s="17" t="s">
        <v>5</v>
      </c>
      <c r="AY20" s="22">
        <v>45565</v>
      </c>
      <c r="AZ20" s="21">
        <v>473</v>
      </c>
      <c r="BA20" s="21">
        <v>438</v>
      </c>
      <c r="BB20" s="23">
        <v>-7.4</v>
      </c>
      <c r="BC20" t="s">
        <v>5</v>
      </c>
      <c r="BD20" s="22">
        <v>45572</v>
      </c>
      <c r="BE20" s="21">
        <v>472.5</v>
      </c>
      <c r="BF20" s="21">
        <v>415</v>
      </c>
      <c r="BG20" s="21">
        <v>-12.1693121693121</v>
      </c>
      <c r="BH20" s="35" t="s">
        <v>5</v>
      </c>
      <c r="BI20" s="22">
        <v>45579</v>
      </c>
      <c r="BJ20" s="21">
        <v>514.5</v>
      </c>
      <c r="BK20" s="21">
        <v>438.25</v>
      </c>
      <c r="BL20" s="31">
        <v>-14.8202137998056</v>
      </c>
      <c r="BM20" s="17" t="s">
        <v>5</v>
      </c>
      <c r="BN20" s="1">
        <v>45586</v>
      </c>
      <c r="BO20">
        <v>424</v>
      </c>
      <c r="BP20">
        <v>378.5</v>
      </c>
      <c r="BQ20" s="40">
        <v>-10.731132075471599</v>
      </c>
      <c r="BR20" s="17" t="s">
        <v>5</v>
      </c>
      <c r="BS20" s="1">
        <v>45593</v>
      </c>
      <c r="BT20">
        <v>497.5</v>
      </c>
      <c r="BU20">
        <v>435.25</v>
      </c>
      <c r="BV20" s="40">
        <v>-12.5125628140703</v>
      </c>
      <c r="BW20" s="17" t="s">
        <v>5</v>
      </c>
      <c r="BX20" s="1">
        <v>45600</v>
      </c>
      <c r="BY20">
        <v>510</v>
      </c>
      <c r="BZ20">
        <v>450.75</v>
      </c>
      <c r="CA20" s="40">
        <v>-11.617647058823501</v>
      </c>
      <c r="CB20" s="17" t="s">
        <v>5</v>
      </c>
      <c r="CC20" s="1">
        <v>45607</v>
      </c>
      <c r="CD20">
        <v>504.25</v>
      </c>
      <c r="CE20">
        <v>449.75</v>
      </c>
      <c r="CF20" s="40">
        <v>-10.808130887456599</v>
      </c>
      <c r="CG20" s="17" t="s">
        <v>5</v>
      </c>
      <c r="CH20" s="1">
        <v>45615</v>
      </c>
      <c r="CI20">
        <v>425</v>
      </c>
      <c r="CJ20">
        <v>426</v>
      </c>
      <c r="CK20" s="40">
        <v>0.4</v>
      </c>
      <c r="CL20" s="17" t="s">
        <v>5</v>
      </c>
      <c r="CM20" s="1">
        <v>45621</v>
      </c>
      <c r="CN20">
        <v>462.5</v>
      </c>
      <c r="CO20">
        <v>463.5</v>
      </c>
      <c r="CP20" s="40">
        <v>0.215749730312841</v>
      </c>
      <c r="CQ20" s="17" t="s">
        <v>5</v>
      </c>
      <c r="CR20" s="1">
        <v>45628</v>
      </c>
      <c r="CS20">
        <v>528.5</v>
      </c>
      <c r="CT20">
        <v>483</v>
      </c>
      <c r="CU20" s="40">
        <v>-8.6092715231787995</v>
      </c>
      <c r="CV20" s="17"/>
      <c r="CW20" s="46"/>
      <c r="CX20" s="46"/>
      <c r="CY20" s="46"/>
      <c r="CZ20" s="40"/>
      <c r="DA20" s="9" t="s">
        <v>5</v>
      </c>
      <c r="DB20" s="11">
        <f t="shared" si="0"/>
        <v>492.22222222222223</v>
      </c>
      <c r="DC20" s="11">
        <f t="shared" si="1"/>
        <v>451.02777777777777</v>
      </c>
      <c r="DD20" s="12" t="e">
        <f t="shared" si="2"/>
        <v>#DIV/0!</v>
      </c>
      <c r="DE20" s="12" t="e">
        <f t="shared" si="3"/>
        <v>#DIV/0!</v>
      </c>
      <c r="DF20" s="12" t="e">
        <f t="shared" si="4"/>
        <v>#DIV/0!</v>
      </c>
      <c r="DG20" s="12" t="e">
        <f t="shared" si="5"/>
        <v>#DIV/0!</v>
      </c>
      <c r="DH20" s="12">
        <f t="shared" si="9"/>
        <v>-4.281183932346723E-2</v>
      </c>
      <c r="DI20" s="12">
        <f t="shared" si="10"/>
        <v>-9.8744292237442924E-2</v>
      </c>
    </row>
    <row r="21" spans="1:113" ht="17" thickBot="1" x14ac:dyDescent="0.25">
      <c r="A21" t="s">
        <v>23</v>
      </c>
      <c r="B21" s="1">
        <v>45505</v>
      </c>
      <c r="C21">
        <v>284.5</v>
      </c>
      <c r="D21">
        <v>298.25</v>
      </c>
      <c r="E21">
        <v>4.6102263202011704</v>
      </c>
      <c r="G21" t="s">
        <v>23</v>
      </c>
      <c r="H21" s="1">
        <v>45512</v>
      </c>
      <c r="I21">
        <v>306.5</v>
      </c>
      <c r="J21">
        <v>330.75</v>
      </c>
      <c r="K21">
        <v>7.3318216175359003</v>
      </c>
      <c r="M21" t="s">
        <v>23</v>
      </c>
      <c r="N21" s="1">
        <v>45517</v>
      </c>
      <c r="O21">
        <v>297</v>
      </c>
      <c r="P21">
        <v>310.75</v>
      </c>
      <c r="Q21">
        <v>4.4247787610619396</v>
      </c>
      <c r="S21" t="s">
        <v>23</v>
      </c>
      <c r="T21" s="1">
        <v>45522</v>
      </c>
      <c r="U21">
        <v>319.75</v>
      </c>
      <c r="V21">
        <v>318.5</v>
      </c>
      <c r="W21">
        <v>-0.39093041438623599</v>
      </c>
      <c r="Y21" t="s">
        <v>23</v>
      </c>
      <c r="Z21" s="1">
        <v>45530</v>
      </c>
      <c r="AA21">
        <v>312.25</v>
      </c>
      <c r="AB21">
        <v>290</v>
      </c>
      <c r="AC21">
        <v>-7.1257005604483501</v>
      </c>
      <c r="AD21" t="s">
        <v>23</v>
      </c>
      <c r="AE21" s="1">
        <v>45537</v>
      </c>
      <c r="AF21">
        <v>359.5</v>
      </c>
      <c r="AG21">
        <v>311.25</v>
      </c>
      <c r="AH21">
        <v>-13.421418636995799</v>
      </c>
      <c r="AI21" t="s">
        <v>23</v>
      </c>
      <c r="AJ21" s="1">
        <v>45544</v>
      </c>
      <c r="AK21">
        <v>310.5</v>
      </c>
      <c r="AL21">
        <v>326.75</v>
      </c>
      <c r="AM21">
        <v>4.9732211170619696</v>
      </c>
      <c r="AN21" s="17" t="s">
        <v>23</v>
      </c>
      <c r="AO21" s="1">
        <v>45551</v>
      </c>
      <c r="AP21">
        <v>232</v>
      </c>
      <c r="AQ21">
        <v>272.25</v>
      </c>
      <c r="AR21">
        <v>14.784205693296601</v>
      </c>
      <c r="AS21" s="17" t="s">
        <v>23</v>
      </c>
      <c r="AT21" s="22">
        <v>45558</v>
      </c>
      <c r="AU21" s="21">
        <v>307.25</v>
      </c>
      <c r="AV21" s="21">
        <v>346.75</v>
      </c>
      <c r="AW21" s="21">
        <v>11.3914924297043</v>
      </c>
      <c r="AX21" s="17" t="s">
        <v>23</v>
      </c>
      <c r="AY21" s="22">
        <v>45565</v>
      </c>
      <c r="AZ21" s="21">
        <v>262</v>
      </c>
      <c r="BA21" s="21">
        <v>258</v>
      </c>
      <c r="BB21" s="23">
        <v>-1.5267175572519101</v>
      </c>
      <c r="BC21" t="s">
        <v>23</v>
      </c>
      <c r="BD21" s="22">
        <v>45572</v>
      </c>
      <c r="BE21" s="21">
        <v>311.25</v>
      </c>
      <c r="BF21" s="21">
        <v>264.5</v>
      </c>
      <c r="BG21" s="31">
        <v>-15.0200803212851</v>
      </c>
      <c r="BH21" s="35" t="s">
        <v>23</v>
      </c>
      <c r="BI21" s="22">
        <v>45579</v>
      </c>
      <c r="BJ21" s="21">
        <v>269.25</v>
      </c>
      <c r="BK21" s="21">
        <v>284.25</v>
      </c>
      <c r="BL21" s="21">
        <v>5.2770448548812601</v>
      </c>
      <c r="BM21" s="17" t="s">
        <v>23</v>
      </c>
      <c r="BN21" s="1">
        <v>45586</v>
      </c>
      <c r="BO21">
        <v>385.25</v>
      </c>
      <c r="BP21">
        <v>367.25</v>
      </c>
      <c r="BQ21" s="40">
        <v>-4.6722907203114801</v>
      </c>
      <c r="BR21" s="17" t="s">
        <v>23</v>
      </c>
      <c r="BS21" s="1">
        <v>45592</v>
      </c>
      <c r="BT21">
        <v>348</v>
      </c>
      <c r="BU21">
        <v>327.5</v>
      </c>
      <c r="BV21" s="40">
        <v>-5.8908045977011403</v>
      </c>
      <c r="BW21" s="17" t="s">
        <v>23</v>
      </c>
      <c r="BX21" s="1">
        <v>45600</v>
      </c>
      <c r="BY21">
        <v>278.25</v>
      </c>
      <c r="BZ21">
        <v>259.75</v>
      </c>
      <c r="CA21" s="40">
        <v>-6.6486972147349501</v>
      </c>
      <c r="CB21" s="17" t="s">
        <v>23</v>
      </c>
      <c r="CC21" s="1">
        <v>45607</v>
      </c>
      <c r="CD21">
        <v>312.25</v>
      </c>
      <c r="CE21">
        <v>277.25</v>
      </c>
      <c r="CF21" s="40">
        <v>-11.2089671737389</v>
      </c>
      <c r="CG21" s="17" t="s">
        <v>23</v>
      </c>
      <c r="CH21" s="1">
        <v>45614</v>
      </c>
      <c r="CI21">
        <v>279.75</v>
      </c>
      <c r="CJ21">
        <v>272.25</v>
      </c>
      <c r="CK21" s="40">
        <v>-2.68096514745308</v>
      </c>
      <c r="CL21" s="17" t="s">
        <v>23</v>
      </c>
      <c r="CM21" s="1">
        <v>45621</v>
      </c>
      <c r="CN21">
        <v>318.25</v>
      </c>
      <c r="CO21">
        <v>335.75</v>
      </c>
      <c r="CP21" s="40">
        <v>5.2122114668652202</v>
      </c>
      <c r="CQ21" s="17" t="s">
        <v>23</v>
      </c>
      <c r="CR21" s="1">
        <v>45628</v>
      </c>
      <c r="CS21">
        <v>290</v>
      </c>
      <c r="CT21">
        <v>293</v>
      </c>
      <c r="CU21" s="40">
        <v>1.02389078498293</v>
      </c>
      <c r="CV21" s="17" t="s">
        <v>23</v>
      </c>
      <c r="CW21" s="47">
        <v>45634</v>
      </c>
      <c r="CX21" s="46">
        <v>349.75</v>
      </c>
      <c r="CY21" s="46">
        <v>350.5</v>
      </c>
      <c r="CZ21" s="40">
        <v>0.213980028530669</v>
      </c>
      <c r="DA21" s="9" t="s">
        <v>23</v>
      </c>
      <c r="DB21" s="11">
        <f t="shared" si="0"/>
        <v>306.46052631578948</v>
      </c>
      <c r="DC21" s="11">
        <f t="shared" si="1"/>
        <v>303.60526315789474</v>
      </c>
      <c r="DD21" s="12">
        <f t="shared" si="2"/>
        <v>0.1237726195402731</v>
      </c>
      <c r="DE21" s="12">
        <f t="shared" si="3"/>
        <v>0.13379382836549289</v>
      </c>
      <c r="DF21" s="12">
        <f t="shared" si="4"/>
        <v>0.17083631165117941</v>
      </c>
      <c r="DG21" s="12">
        <f t="shared" si="5"/>
        <v>0.16405135520684735</v>
      </c>
      <c r="DH21" s="12">
        <f t="shared" si="9"/>
        <v>-8.5877862595419852E-2</v>
      </c>
      <c r="DI21" s="12">
        <f t="shared" si="10"/>
        <v>-0.1560077519379845</v>
      </c>
    </row>
    <row r="22" spans="1:113" ht="17" thickBot="1" x14ac:dyDescent="0.25">
      <c r="A22" t="s">
        <v>6</v>
      </c>
      <c r="B22" s="1">
        <v>45505</v>
      </c>
      <c r="C22">
        <v>393.75</v>
      </c>
      <c r="D22">
        <v>453.25</v>
      </c>
      <c r="E22">
        <v>13.127413127413099</v>
      </c>
      <c r="G22" t="s">
        <v>6</v>
      </c>
      <c r="H22" s="1">
        <v>45512</v>
      </c>
      <c r="I22">
        <v>394.5</v>
      </c>
      <c r="J22">
        <v>424.75</v>
      </c>
      <c r="K22">
        <v>7.1218363743378399</v>
      </c>
      <c r="M22" t="s">
        <v>6</v>
      </c>
      <c r="N22" s="1">
        <v>45517</v>
      </c>
      <c r="O22">
        <v>372</v>
      </c>
      <c r="P22">
        <v>368.25</v>
      </c>
      <c r="Q22">
        <v>-1.00806451612903</v>
      </c>
      <c r="S22" t="s">
        <v>6</v>
      </c>
      <c r="T22" s="1">
        <v>45522</v>
      </c>
      <c r="U22">
        <v>372</v>
      </c>
      <c r="V22">
        <v>406.5</v>
      </c>
      <c r="W22">
        <v>8.4870848708486992</v>
      </c>
      <c r="Y22" t="s">
        <v>6</v>
      </c>
      <c r="Z22" s="1">
        <v>45530</v>
      </c>
      <c r="AA22">
        <v>419.25</v>
      </c>
      <c r="AB22">
        <v>432.75</v>
      </c>
      <c r="AC22">
        <v>3.11958405545926</v>
      </c>
      <c r="AD22" t="s">
        <v>6</v>
      </c>
      <c r="AE22" s="1">
        <v>45537</v>
      </c>
      <c r="AF22">
        <v>396</v>
      </c>
      <c r="AG22">
        <v>418.75</v>
      </c>
      <c r="AH22">
        <v>5.4328358208955203</v>
      </c>
      <c r="AN22" s="17"/>
      <c r="AS22" s="17"/>
      <c r="AX22" s="17" t="s">
        <v>6</v>
      </c>
      <c r="AY22" s="22">
        <v>45565</v>
      </c>
      <c r="AZ22" s="21">
        <v>414.25</v>
      </c>
      <c r="BA22" s="21">
        <v>388.75</v>
      </c>
      <c r="BB22" s="23">
        <v>-6.1557030778515296</v>
      </c>
      <c r="BC22" t="s">
        <v>6</v>
      </c>
      <c r="BD22" s="22">
        <v>45572</v>
      </c>
      <c r="BE22" s="21">
        <v>432.5</v>
      </c>
      <c r="BF22" s="21">
        <v>399.5</v>
      </c>
      <c r="BG22" s="21">
        <v>-7.6300578034682003</v>
      </c>
      <c r="BH22" s="35" t="s">
        <v>6</v>
      </c>
      <c r="BI22" s="22">
        <v>45579</v>
      </c>
      <c r="BJ22" s="21">
        <v>395</v>
      </c>
      <c r="BK22" s="21">
        <v>402</v>
      </c>
      <c r="BL22" s="21">
        <v>1.7412935323383001</v>
      </c>
      <c r="BM22" s="17" t="s">
        <v>6</v>
      </c>
      <c r="BN22" s="1">
        <v>45586</v>
      </c>
      <c r="BO22">
        <v>368.25</v>
      </c>
      <c r="BP22">
        <v>375</v>
      </c>
      <c r="BQ22" s="40">
        <v>1.8</v>
      </c>
      <c r="BR22" s="17" t="s">
        <v>6</v>
      </c>
      <c r="BS22" s="1">
        <v>45592</v>
      </c>
      <c r="BT22">
        <v>446</v>
      </c>
      <c r="BU22">
        <v>423.25</v>
      </c>
      <c r="BV22" s="40">
        <v>-5.1008968609865404</v>
      </c>
      <c r="BW22" s="17" t="s">
        <v>6</v>
      </c>
      <c r="BX22" s="1">
        <v>45600</v>
      </c>
      <c r="BY22">
        <v>353.5</v>
      </c>
      <c r="BZ22">
        <v>357.5</v>
      </c>
      <c r="CA22" s="40">
        <v>1.1188811188811201</v>
      </c>
      <c r="CB22" s="17" t="s">
        <v>6</v>
      </c>
      <c r="CC22" s="1">
        <v>45607</v>
      </c>
      <c r="CD22">
        <v>389.75</v>
      </c>
      <c r="CE22">
        <v>399.25</v>
      </c>
      <c r="CF22" s="40">
        <v>2.3794614902942901</v>
      </c>
      <c r="CG22" s="17" t="s">
        <v>6</v>
      </c>
      <c r="CH22" s="1">
        <v>45614</v>
      </c>
      <c r="CI22">
        <v>383.75</v>
      </c>
      <c r="CJ22">
        <v>401.25</v>
      </c>
      <c r="CK22" s="40">
        <v>4.3613707165109004</v>
      </c>
      <c r="CL22" s="17" t="s">
        <v>6</v>
      </c>
      <c r="CM22" s="1">
        <v>45621</v>
      </c>
      <c r="CN22">
        <v>383.5</v>
      </c>
      <c r="CO22">
        <v>380</v>
      </c>
      <c r="CP22" s="40">
        <v>-0.91264667535854105</v>
      </c>
      <c r="CQ22" s="17" t="s">
        <v>6</v>
      </c>
      <c r="CR22" s="1">
        <v>45628</v>
      </c>
      <c r="CS22">
        <v>397.25</v>
      </c>
      <c r="CT22">
        <v>410.75</v>
      </c>
      <c r="CU22" s="40">
        <v>3.2866707242848401</v>
      </c>
      <c r="CV22" s="17" t="s">
        <v>6</v>
      </c>
      <c r="CW22" s="47">
        <v>45634</v>
      </c>
      <c r="CX22" s="46">
        <v>380.5</v>
      </c>
      <c r="CY22" s="46">
        <v>398.5</v>
      </c>
      <c r="CZ22" s="40">
        <v>4.5169385194479297</v>
      </c>
      <c r="DA22" s="9" t="s">
        <v>6</v>
      </c>
      <c r="DB22" s="11">
        <f t="shared" si="0"/>
        <v>393.63235294117646</v>
      </c>
      <c r="DC22" s="11">
        <f t="shared" si="1"/>
        <v>402.35294117647061</v>
      </c>
      <c r="DD22" s="12">
        <f t="shared" si="2"/>
        <v>-3.4513411146324481E-2</v>
      </c>
      <c r="DE22" s="12">
        <f t="shared" si="3"/>
        <v>-9.6686102295372861E-3</v>
      </c>
      <c r="DF22" s="12">
        <f t="shared" si="4"/>
        <v>-4.4021024967148492E-2</v>
      </c>
      <c r="DG22" s="12">
        <f t="shared" si="5"/>
        <v>-3.0740276035131745E-2</v>
      </c>
      <c r="DH22" s="12">
        <f t="shared" si="9"/>
        <v>4.9487024743512374E-2</v>
      </c>
      <c r="DI22" s="12">
        <f t="shared" si="10"/>
        <v>-0.16591639871382638</v>
      </c>
    </row>
    <row r="23" spans="1:113" ht="17" thickBot="1" x14ac:dyDescent="0.25">
      <c r="A23" t="s">
        <v>35</v>
      </c>
      <c r="B23" s="1">
        <v>45505</v>
      </c>
      <c r="C23">
        <v>398.5</v>
      </c>
      <c r="D23">
        <v>331</v>
      </c>
      <c r="E23">
        <v>-16.9385194479297</v>
      </c>
      <c r="G23" t="s">
        <v>35</v>
      </c>
      <c r="H23" s="1">
        <v>45512</v>
      </c>
      <c r="I23">
        <v>395.25</v>
      </c>
      <c r="J23">
        <v>333.5</v>
      </c>
      <c r="K23">
        <v>-15.623023402909499</v>
      </c>
      <c r="M23" t="s">
        <v>35</v>
      </c>
      <c r="N23" s="1">
        <v>45517</v>
      </c>
      <c r="O23">
        <v>363.75</v>
      </c>
      <c r="P23">
        <v>315.5</v>
      </c>
      <c r="Q23">
        <v>-13.2646048109965</v>
      </c>
      <c r="AD23" t="s">
        <v>35</v>
      </c>
      <c r="AE23" s="1">
        <v>45537</v>
      </c>
      <c r="AF23">
        <v>326.75</v>
      </c>
      <c r="AG23">
        <v>230</v>
      </c>
      <c r="AH23" s="13">
        <v>-29.6097934200459</v>
      </c>
      <c r="AI23" t="s">
        <v>35</v>
      </c>
      <c r="AJ23" s="1">
        <v>45544</v>
      </c>
      <c r="AK23">
        <v>348.75</v>
      </c>
      <c r="AL23">
        <v>298.5</v>
      </c>
      <c r="AM23">
        <v>-14.4086021505376</v>
      </c>
      <c r="AN23" s="17" t="s">
        <v>35</v>
      </c>
      <c r="AO23" s="1">
        <v>45551</v>
      </c>
      <c r="AP23">
        <v>333.25</v>
      </c>
      <c r="AQ23">
        <v>312.25</v>
      </c>
      <c r="AR23">
        <v>-6.3015753938484496</v>
      </c>
      <c r="AS23" s="17" t="s">
        <v>35</v>
      </c>
      <c r="AT23" s="22">
        <v>45558</v>
      </c>
      <c r="AU23" s="21">
        <v>376.25</v>
      </c>
      <c r="AV23" s="21">
        <v>297.75</v>
      </c>
      <c r="AW23" s="31">
        <v>-20.8637873754152</v>
      </c>
      <c r="AX23" s="17" t="s">
        <v>35</v>
      </c>
      <c r="AY23" s="22">
        <v>45565</v>
      </c>
      <c r="AZ23" s="21">
        <v>367.25</v>
      </c>
      <c r="BA23" s="21">
        <v>276</v>
      </c>
      <c r="BB23" s="29">
        <v>-24.8468345813478</v>
      </c>
      <c r="BC23" t="s">
        <v>35</v>
      </c>
      <c r="BD23" s="22">
        <v>45572</v>
      </c>
      <c r="BE23" s="21">
        <v>332.5</v>
      </c>
      <c r="BF23" s="21">
        <v>241.75</v>
      </c>
      <c r="BG23" s="31">
        <v>-27.293233082706699</v>
      </c>
      <c r="BH23" s="35" t="s">
        <v>35</v>
      </c>
      <c r="BI23" s="22">
        <v>45579</v>
      </c>
      <c r="BJ23" s="21">
        <v>327.25</v>
      </c>
      <c r="BK23" s="21">
        <v>267.5</v>
      </c>
      <c r="BL23" s="31">
        <v>-18.258212375859401</v>
      </c>
      <c r="BM23" s="17" t="s">
        <v>35</v>
      </c>
      <c r="BN23" s="1">
        <v>45586</v>
      </c>
      <c r="BO23">
        <v>165</v>
      </c>
      <c r="BP23">
        <v>254</v>
      </c>
      <c r="BQ23" s="40">
        <v>35.039370078740099</v>
      </c>
      <c r="BR23" s="17" t="s">
        <v>35</v>
      </c>
      <c r="BS23" s="1">
        <v>45593</v>
      </c>
      <c r="BT23">
        <v>324.5</v>
      </c>
      <c r="BU23">
        <v>262.5</v>
      </c>
      <c r="BV23" s="39">
        <v>-19.106317411402099</v>
      </c>
      <c r="BW23" s="17" t="s">
        <v>35</v>
      </c>
      <c r="BX23" s="1">
        <v>45600</v>
      </c>
      <c r="BY23">
        <v>315</v>
      </c>
      <c r="BZ23">
        <v>259.75</v>
      </c>
      <c r="CA23" s="39">
        <v>-17.539682539682499</v>
      </c>
      <c r="CB23" s="17" t="s">
        <v>35</v>
      </c>
      <c r="CC23" s="1">
        <v>45607</v>
      </c>
      <c r="CD23">
        <v>333.25</v>
      </c>
      <c r="CE23">
        <v>286</v>
      </c>
      <c r="CF23" s="40">
        <v>-14.178544636159</v>
      </c>
      <c r="CG23" s="17" t="s">
        <v>35</v>
      </c>
      <c r="CH23" s="1">
        <v>45614</v>
      </c>
      <c r="CI23">
        <v>360.75</v>
      </c>
      <c r="CJ23">
        <v>264.25</v>
      </c>
      <c r="CK23" s="39">
        <v>-26.749826749826699</v>
      </c>
      <c r="CL23" s="17" t="s">
        <v>35</v>
      </c>
      <c r="CM23" s="1">
        <v>45621</v>
      </c>
      <c r="CN23">
        <v>338</v>
      </c>
      <c r="CO23">
        <v>234.25</v>
      </c>
      <c r="CP23" s="40">
        <v>-30.695266272189301</v>
      </c>
      <c r="CQ23" s="17" t="s">
        <v>35</v>
      </c>
      <c r="CR23" s="1">
        <v>45628</v>
      </c>
      <c r="CS23">
        <v>346.75</v>
      </c>
      <c r="CT23">
        <v>247.25</v>
      </c>
      <c r="CU23" s="40">
        <v>-28.695025234318599</v>
      </c>
      <c r="CV23" s="17" t="s">
        <v>35</v>
      </c>
      <c r="CW23" s="47">
        <v>45635</v>
      </c>
      <c r="CX23" s="46">
        <v>340.75</v>
      </c>
      <c r="CY23" s="46">
        <v>289</v>
      </c>
      <c r="CZ23" s="49">
        <v>-15.187087307410099</v>
      </c>
      <c r="DA23" s="9" t="s">
        <v>35</v>
      </c>
      <c r="DB23" s="11">
        <f t="shared" si="0"/>
        <v>337.9264705882353</v>
      </c>
      <c r="DC23" s="11">
        <f t="shared" si="1"/>
        <v>276.60294117647061</v>
      </c>
      <c r="DD23" s="12">
        <f t="shared" si="2"/>
        <v>8.2862198437702005E-3</v>
      </c>
      <c r="DE23" s="12">
        <f t="shared" si="3"/>
        <v>4.2896397313250491E-2</v>
      </c>
      <c r="DF23" s="12">
        <f t="shared" si="4"/>
        <v>-1.7608217168011739E-2</v>
      </c>
      <c r="DG23" s="12">
        <f t="shared" si="5"/>
        <v>0.1444636678200692</v>
      </c>
      <c r="DH23" s="12">
        <f t="shared" si="9"/>
        <v>-8.5091899251191289E-2</v>
      </c>
      <c r="DI23" s="12">
        <f t="shared" si="10"/>
        <v>-0.19927536231884058</v>
      </c>
    </row>
    <row r="24" spans="1:113" ht="17" thickBot="1" x14ac:dyDescent="0.25">
      <c r="A24" t="s">
        <v>26</v>
      </c>
      <c r="B24" s="1">
        <v>45505</v>
      </c>
      <c r="C24">
        <v>346</v>
      </c>
      <c r="D24">
        <v>373</v>
      </c>
      <c r="E24">
        <v>7.2386058981233203</v>
      </c>
      <c r="G24" t="s">
        <v>26</v>
      </c>
      <c r="H24" s="1">
        <v>45512</v>
      </c>
      <c r="I24">
        <v>323.5</v>
      </c>
      <c r="J24">
        <v>334.75</v>
      </c>
      <c r="K24">
        <v>3.3607169529499599</v>
      </c>
      <c r="M24" t="s">
        <v>26</v>
      </c>
      <c r="N24" s="1">
        <v>45517</v>
      </c>
      <c r="O24">
        <v>317.25</v>
      </c>
      <c r="P24">
        <v>346</v>
      </c>
      <c r="Q24">
        <v>8.3092485549132906</v>
      </c>
      <c r="S24" t="s">
        <v>26</v>
      </c>
      <c r="T24" s="1">
        <v>45522</v>
      </c>
      <c r="U24">
        <v>353</v>
      </c>
      <c r="V24">
        <v>299.25</v>
      </c>
      <c r="W24">
        <v>-15.226628895184099</v>
      </c>
      <c r="Y24" t="s">
        <v>26</v>
      </c>
      <c r="Z24" s="1">
        <v>45530</v>
      </c>
      <c r="AA24">
        <v>416.25</v>
      </c>
      <c r="AB24">
        <v>331.25</v>
      </c>
      <c r="AC24" s="13">
        <v>-20.420420420420399</v>
      </c>
      <c r="AD24" t="s">
        <v>26</v>
      </c>
      <c r="AE24" s="1">
        <v>45537</v>
      </c>
      <c r="AF24">
        <v>358.25</v>
      </c>
      <c r="AG24">
        <v>333.5</v>
      </c>
      <c r="AH24">
        <v>-6.9085833914863803</v>
      </c>
      <c r="AI24" t="s">
        <v>26</v>
      </c>
      <c r="AJ24" s="1">
        <v>45544</v>
      </c>
      <c r="AK24">
        <v>410.25</v>
      </c>
      <c r="AL24">
        <v>378.5</v>
      </c>
      <c r="AM24">
        <v>-7.7391834247410101</v>
      </c>
      <c r="AN24" s="17" t="s">
        <v>26</v>
      </c>
      <c r="AO24" s="1">
        <v>45551</v>
      </c>
      <c r="AP24">
        <v>424.25</v>
      </c>
      <c r="AQ24">
        <v>383.25</v>
      </c>
      <c r="AR24">
        <v>-9.6641131408367702</v>
      </c>
      <c r="AS24" s="17" t="s">
        <v>26</v>
      </c>
      <c r="AT24" s="22">
        <v>45558</v>
      </c>
      <c r="AU24" s="21">
        <v>334.75</v>
      </c>
      <c r="AV24" s="21">
        <v>302.25</v>
      </c>
      <c r="AW24" s="21">
        <v>-9.7087378640776603</v>
      </c>
      <c r="AX24" s="17" t="s">
        <v>26</v>
      </c>
      <c r="AY24" s="22">
        <v>45565</v>
      </c>
      <c r="AZ24" s="21">
        <v>399</v>
      </c>
      <c r="BA24" s="21">
        <v>373.5</v>
      </c>
      <c r="BB24" s="23">
        <v>-6.3909774436090201</v>
      </c>
      <c r="BC24" t="s">
        <v>26</v>
      </c>
      <c r="BD24" s="22">
        <v>45572</v>
      </c>
      <c r="BE24" s="21">
        <v>412</v>
      </c>
      <c r="BF24" s="21">
        <v>339.5</v>
      </c>
      <c r="BG24" s="31">
        <v>-17.597087378640701</v>
      </c>
      <c r="BH24" s="35" t="s">
        <v>26</v>
      </c>
      <c r="BI24" s="22">
        <v>45579</v>
      </c>
      <c r="BJ24" s="21">
        <v>418.25</v>
      </c>
      <c r="BK24" s="21">
        <v>343</v>
      </c>
      <c r="BL24" s="31">
        <v>-17.991631799163098</v>
      </c>
      <c r="BM24" s="17" t="s">
        <v>26</v>
      </c>
      <c r="BN24" s="1">
        <v>45586</v>
      </c>
      <c r="BO24">
        <v>416.5</v>
      </c>
      <c r="BP24">
        <v>364.75</v>
      </c>
      <c r="BQ24" s="40">
        <v>-12.4249699879951</v>
      </c>
      <c r="BR24" s="17" t="s">
        <v>26</v>
      </c>
      <c r="BS24" s="1">
        <v>45592</v>
      </c>
      <c r="BT24">
        <v>455.75</v>
      </c>
      <c r="BU24">
        <v>402.5</v>
      </c>
      <c r="BV24" s="40">
        <v>-11.6840373011519</v>
      </c>
      <c r="BW24" s="17" t="s">
        <v>26</v>
      </c>
      <c r="BX24" s="1">
        <v>45600</v>
      </c>
      <c r="BY24">
        <v>450.5</v>
      </c>
      <c r="BZ24">
        <v>339.75</v>
      </c>
      <c r="CA24" s="40">
        <v>-24.583795782463898</v>
      </c>
      <c r="CB24" s="17" t="s">
        <v>26</v>
      </c>
      <c r="CC24" s="1">
        <v>45607</v>
      </c>
      <c r="CD24">
        <v>458.25</v>
      </c>
      <c r="CE24">
        <v>362</v>
      </c>
      <c r="CF24" s="39">
        <v>-21.003818876159201</v>
      </c>
      <c r="CG24" s="17" t="s">
        <v>26</v>
      </c>
      <c r="CH24" s="1">
        <v>45614</v>
      </c>
      <c r="CI24">
        <v>244.5</v>
      </c>
      <c r="CJ24">
        <v>233.25</v>
      </c>
      <c r="CK24" s="40">
        <v>-4.6012269938650201</v>
      </c>
      <c r="CL24" s="17" t="s">
        <v>26</v>
      </c>
      <c r="CM24" s="1">
        <v>45621</v>
      </c>
      <c r="CN24">
        <v>335</v>
      </c>
      <c r="CO24">
        <v>302</v>
      </c>
      <c r="CP24" s="40">
        <v>-9.8507462686567102</v>
      </c>
      <c r="CQ24" s="17" t="s">
        <v>26</v>
      </c>
      <c r="CR24" s="1">
        <v>45628</v>
      </c>
      <c r="CS24">
        <v>410.25</v>
      </c>
      <c r="CT24">
        <v>371.75</v>
      </c>
      <c r="CU24" s="40">
        <v>-9.3845216331505199</v>
      </c>
      <c r="CV24" s="17" t="s">
        <v>26</v>
      </c>
      <c r="CW24" s="47">
        <v>45635</v>
      </c>
      <c r="CX24" s="46">
        <v>418</v>
      </c>
      <c r="CY24" s="46">
        <v>374.25</v>
      </c>
      <c r="CZ24" s="40">
        <v>-10.4665071770334</v>
      </c>
      <c r="DA24" s="9" t="s">
        <v>26</v>
      </c>
      <c r="DB24" s="11">
        <f t="shared" si="0"/>
        <v>383.75</v>
      </c>
      <c r="DC24" s="11">
        <f t="shared" si="1"/>
        <v>342.60526315789474</v>
      </c>
      <c r="DD24" s="12">
        <f t="shared" si="2"/>
        <v>8.1937799043062198E-2</v>
      </c>
      <c r="DE24" s="12">
        <f t="shared" si="3"/>
        <v>8.4555075062405505E-2</v>
      </c>
      <c r="DF24" s="12">
        <f t="shared" si="4"/>
        <v>1.854066985645933E-2</v>
      </c>
      <c r="DG24" s="12">
        <f t="shared" si="5"/>
        <v>6.6800267201068807E-3</v>
      </c>
      <c r="DH24" s="12">
        <f t="shared" si="9"/>
        <v>0.13283208020050125</v>
      </c>
      <c r="DI24" s="12">
        <f t="shared" si="10"/>
        <v>1.3386880856760374E-3</v>
      </c>
    </row>
    <row r="25" spans="1:113" ht="17" thickBot="1" x14ac:dyDescent="0.25">
      <c r="S25" t="s">
        <v>45</v>
      </c>
      <c r="T25" s="1">
        <v>45522</v>
      </c>
      <c r="U25">
        <v>418</v>
      </c>
      <c r="V25">
        <v>416</v>
      </c>
      <c r="W25">
        <v>-0.7</v>
      </c>
      <c r="AD25" t="s">
        <v>45</v>
      </c>
      <c r="AE25" s="1">
        <v>45537</v>
      </c>
      <c r="AF25">
        <v>427.25</v>
      </c>
      <c r="AG25">
        <v>356.25</v>
      </c>
      <c r="AH25" s="13">
        <v>-16.617905207723801</v>
      </c>
      <c r="AI25" t="s">
        <v>45</v>
      </c>
      <c r="AJ25" s="1">
        <v>45544</v>
      </c>
      <c r="AK25">
        <v>402.5</v>
      </c>
      <c r="AL25">
        <v>343.25</v>
      </c>
      <c r="AM25">
        <v>-14.7204968944099</v>
      </c>
      <c r="AN25" s="17" t="s">
        <v>45</v>
      </c>
      <c r="AO25" s="1">
        <v>45551</v>
      </c>
      <c r="AP25">
        <v>417.25</v>
      </c>
      <c r="AQ25">
        <v>418.25</v>
      </c>
      <c r="AR25">
        <v>0.239091452480577</v>
      </c>
      <c r="AS25" s="17" t="s">
        <v>45</v>
      </c>
      <c r="AT25" s="22">
        <v>45558</v>
      </c>
      <c r="AU25" s="21">
        <v>399.5</v>
      </c>
      <c r="AV25" s="21">
        <v>355.5</v>
      </c>
      <c r="AW25" s="21">
        <v>-11.013767209011201</v>
      </c>
      <c r="AX25" s="17" t="s">
        <v>45</v>
      </c>
      <c r="AY25" s="22">
        <v>45565</v>
      </c>
      <c r="AZ25" s="21">
        <v>423</v>
      </c>
      <c r="BA25" s="21">
        <v>380</v>
      </c>
      <c r="BB25" s="23">
        <v>-10.165484633569699</v>
      </c>
      <c r="BC25" t="s">
        <v>45</v>
      </c>
      <c r="BD25" s="22">
        <v>45572</v>
      </c>
      <c r="BE25" s="21">
        <v>397.75</v>
      </c>
      <c r="BF25" s="21">
        <v>364.5</v>
      </c>
      <c r="BG25" s="21">
        <v>-8.3595223130106806</v>
      </c>
      <c r="BH25" s="35" t="s">
        <v>45</v>
      </c>
      <c r="BI25" s="22">
        <v>45579</v>
      </c>
      <c r="BJ25" s="21">
        <v>432</v>
      </c>
      <c r="BK25" s="21">
        <v>367</v>
      </c>
      <c r="BL25" s="31">
        <v>-15.0462962962962</v>
      </c>
      <c r="BM25" s="17" t="s">
        <v>45</v>
      </c>
      <c r="BN25" s="1">
        <v>45586</v>
      </c>
      <c r="BO25">
        <v>440.5</v>
      </c>
      <c r="BP25">
        <v>363.5</v>
      </c>
      <c r="BQ25" s="39">
        <v>-17.480136208853502</v>
      </c>
      <c r="BR25" s="17" t="s">
        <v>45</v>
      </c>
      <c r="BS25" s="1">
        <v>45592</v>
      </c>
      <c r="BT25">
        <v>428</v>
      </c>
      <c r="BU25">
        <v>383.75</v>
      </c>
      <c r="BV25" s="40">
        <v>-10.3387850467289</v>
      </c>
      <c r="BW25" s="17" t="s">
        <v>45</v>
      </c>
      <c r="BX25" s="1">
        <v>45600</v>
      </c>
      <c r="BY25">
        <v>451.75</v>
      </c>
      <c r="BZ25">
        <v>392.5</v>
      </c>
      <c r="CA25" s="40">
        <v>-13.1156613171001</v>
      </c>
      <c r="CB25" s="17" t="s">
        <v>45</v>
      </c>
      <c r="CC25" s="1">
        <v>45607</v>
      </c>
      <c r="CD25">
        <v>441.25</v>
      </c>
      <c r="CE25">
        <v>373</v>
      </c>
      <c r="CF25" s="40">
        <v>-15.4674220963172</v>
      </c>
      <c r="CG25" s="17" t="s">
        <v>45</v>
      </c>
      <c r="CH25" s="1">
        <v>45614</v>
      </c>
      <c r="CI25">
        <v>426</v>
      </c>
      <c r="CJ25">
        <v>355</v>
      </c>
      <c r="CK25" s="39">
        <v>-16.6666666666666</v>
      </c>
      <c r="CL25" s="17" t="s">
        <v>45</v>
      </c>
      <c r="CM25" s="1">
        <v>45621</v>
      </c>
      <c r="CN25">
        <v>364.25</v>
      </c>
      <c r="CO25">
        <v>352.5</v>
      </c>
      <c r="CP25" s="40">
        <v>-3.2258064516128999</v>
      </c>
      <c r="CQ25" s="17" t="s">
        <v>45</v>
      </c>
      <c r="CR25" s="1">
        <v>45628</v>
      </c>
      <c r="CS25">
        <v>428.5</v>
      </c>
      <c r="CT25">
        <v>376</v>
      </c>
      <c r="CU25" s="40">
        <v>-12.2520420070011</v>
      </c>
      <c r="CV25" s="17"/>
      <c r="CW25" s="46"/>
      <c r="CX25" s="46"/>
      <c r="CY25" s="46"/>
      <c r="CZ25" s="40"/>
      <c r="DA25" s="9" t="s">
        <v>45</v>
      </c>
      <c r="DB25" s="11">
        <f t="shared" si="0"/>
        <v>421.07142857142856</v>
      </c>
      <c r="DC25" s="11">
        <f t="shared" si="1"/>
        <v>375.26785714285717</v>
      </c>
      <c r="DD25" s="12" t="e">
        <f t="shared" si="2"/>
        <v>#DIV/0!</v>
      </c>
      <c r="DE25" s="12" t="e">
        <f t="shared" si="3"/>
        <v>#DIV/0!</v>
      </c>
      <c r="DF25" s="12" t="e">
        <f t="shared" si="4"/>
        <v>#DIV/0!</v>
      </c>
      <c r="DG25" s="12" t="e">
        <f t="shared" si="5"/>
        <v>#DIV/0!</v>
      </c>
      <c r="DH25" s="12">
        <f>(AZ25-U25)/AZ25</f>
        <v>1.1820330969267139E-2</v>
      </c>
      <c r="DI25" s="12">
        <f>(BA25-V25)/BA25</f>
        <v>-9.4736842105263161E-2</v>
      </c>
    </row>
    <row r="26" spans="1:113" ht="17" thickBot="1" x14ac:dyDescent="0.25">
      <c r="A26" t="s">
        <v>12</v>
      </c>
      <c r="B26" s="1">
        <v>45505</v>
      </c>
      <c r="C26">
        <v>494</v>
      </c>
      <c r="D26">
        <v>472.25</v>
      </c>
      <c r="E26">
        <v>-4.4028340080971597</v>
      </c>
      <c r="G26" t="s">
        <v>12</v>
      </c>
      <c r="H26" s="1">
        <v>45512</v>
      </c>
      <c r="I26">
        <v>516.75</v>
      </c>
      <c r="J26">
        <v>491</v>
      </c>
      <c r="K26">
        <v>-4.9830672472181803</v>
      </c>
      <c r="M26" t="s">
        <v>12</v>
      </c>
      <c r="N26" s="1">
        <v>45517</v>
      </c>
      <c r="O26">
        <v>535.75</v>
      </c>
      <c r="P26">
        <v>509.5</v>
      </c>
      <c r="Q26">
        <v>-4.8996733551096501</v>
      </c>
      <c r="S26" t="s">
        <v>12</v>
      </c>
      <c r="T26" s="1">
        <v>45522</v>
      </c>
      <c r="U26">
        <v>508</v>
      </c>
      <c r="V26">
        <v>459.25</v>
      </c>
      <c r="W26">
        <v>-9.5964566929133905</v>
      </c>
      <c r="Y26" t="s">
        <v>12</v>
      </c>
      <c r="Z26" s="1">
        <v>45530</v>
      </c>
      <c r="AA26">
        <v>538.25</v>
      </c>
      <c r="AB26">
        <v>511.5</v>
      </c>
      <c r="AC26">
        <v>-4.9698095680445897</v>
      </c>
      <c r="AD26" t="s">
        <v>12</v>
      </c>
      <c r="AE26" s="1">
        <v>45537</v>
      </c>
      <c r="AF26">
        <v>530.25</v>
      </c>
      <c r="AG26">
        <v>461.25</v>
      </c>
      <c r="AH26">
        <v>-13.012729844413</v>
      </c>
      <c r="AN26" s="17"/>
      <c r="AS26" s="17" t="s">
        <v>12</v>
      </c>
      <c r="AT26" s="22">
        <v>45558</v>
      </c>
      <c r="AU26" s="21">
        <v>553.75</v>
      </c>
      <c r="AV26" s="21">
        <v>500.75</v>
      </c>
      <c r="AW26" s="21">
        <v>-9.5711060948081208</v>
      </c>
      <c r="AX26" s="17" t="s">
        <v>12</v>
      </c>
      <c r="AY26" s="22">
        <v>45565</v>
      </c>
      <c r="AZ26" s="21">
        <v>542.25</v>
      </c>
      <c r="BA26" s="21">
        <v>501.5</v>
      </c>
      <c r="BB26" s="23">
        <v>-7.5149838635315698</v>
      </c>
      <c r="BC26" t="s">
        <v>12</v>
      </c>
      <c r="BD26" s="22">
        <v>45572</v>
      </c>
      <c r="BE26" s="21">
        <v>561.75</v>
      </c>
      <c r="BF26" s="21">
        <v>466.75</v>
      </c>
      <c r="BG26" s="31">
        <v>-16.911437472185099</v>
      </c>
      <c r="BH26" s="35" t="s">
        <v>12</v>
      </c>
      <c r="BI26" s="22">
        <v>45579</v>
      </c>
      <c r="BJ26" s="21">
        <v>602.75</v>
      </c>
      <c r="BK26" s="21">
        <v>530</v>
      </c>
      <c r="BL26" s="21">
        <v>-12.0696806304438</v>
      </c>
      <c r="BM26" s="17" t="s">
        <v>12</v>
      </c>
      <c r="BN26" s="1">
        <v>45586</v>
      </c>
      <c r="BO26">
        <v>547</v>
      </c>
      <c r="BP26">
        <v>504</v>
      </c>
      <c r="BQ26" s="40">
        <v>-7.8610603290676302</v>
      </c>
      <c r="BR26" s="17" t="s">
        <v>12</v>
      </c>
      <c r="BS26" s="1">
        <v>45593</v>
      </c>
      <c r="BT26">
        <v>583</v>
      </c>
      <c r="BU26">
        <v>507.75</v>
      </c>
      <c r="BV26" s="40">
        <v>-12.907375643224601</v>
      </c>
      <c r="BW26" s="17" t="s">
        <v>12</v>
      </c>
      <c r="BX26" s="1">
        <v>45600</v>
      </c>
      <c r="BY26">
        <v>606.75</v>
      </c>
      <c r="BZ26">
        <v>503.75</v>
      </c>
      <c r="CA26" s="39">
        <v>-16.975690152451499</v>
      </c>
      <c r="CB26" s="17" t="s">
        <v>12</v>
      </c>
      <c r="CC26" s="1">
        <v>45607</v>
      </c>
      <c r="CD26">
        <v>536.5</v>
      </c>
      <c r="CE26">
        <v>467.75</v>
      </c>
      <c r="CF26" s="40">
        <v>-12.814538676607601</v>
      </c>
      <c r="CG26" s="17" t="s">
        <v>12</v>
      </c>
      <c r="CH26" s="1">
        <v>45614</v>
      </c>
      <c r="CI26">
        <v>591</v>
      </c>
      <c r="CJ26">
        <v>510.5</v>
      </c>
      <c r="CK26" s="40">
        <v>-13.6209813874788</v>
      </c>
      <c r="CL26" s="17" t="s">
        <v>12</v>
      </c>
      <c r="CM26" s="1">
        <v>45621</v>
      </c>
      <c r="CN26">
        <v>580.75</v>
      </c>
      <c r="CO26">
        <v>518.5</v>
      </c>
      <c r="CP26" s="40">
        <v>-10.7188979767541</v>
      </c>
      <c r="CQ26" s="17" t="s">
        <v>12</v>
      </c>
      <c r="CR26" s="1">
        <v>45628</v>
      </c>
      <c r="CS26">
        <v>574</v>
      </c>
      <c r="CT26">
        <v>494.75</v>
      </c>
      <c r="CU26" s="40">
        <v>-13.806620209059201</v>
      </c>
      <c r="CV26" s="17" t="s">
        <v>12</v>
      </c>
      <c r="CW26" s="47">
        <v>45635</v>
      </c>
      <c r="CX26" s="46">
        <v>500</v>
      </c>
      <c r="CY26" s="46">
        <v>474.5</v>
      </c>
      <c r="CZ26" s="40">
        <v>-5.0999999999999996</v>
      </c>
      <c r="DA26" s="9" t="s">
        <v>12</v>
      </c>
      <c r="DB26" s="11">
        <f t="shared" si="0"/>
        <v>550.13888888888891</v>
      </c>
      <c r="DC26" s="11">
        <f t="shared" si="1"/>
        <v>493.625</v>
      </c>
      <c r="DD26" s="12">
        <f t="shared" si="2"/>
        <v>-0.10027777777777783</v>
      </c>
      <c r="DE26" s="12">
        <f t="shared" si="3"/>
        <v>-4.0305584826132772E-2</v>
      </c>
      <c r="DF26" s="12">
        <f t="shared" si="4"/>
        <v>-0.14799999999999999</v>
      </c>
      <c r="DG26" s="12">
        <f t="shared" si="5"/>
        <v>-4.2676501580611169E-2</v>
      </c>
      <c r="DH26" s="12">
        <f t="shared" ref="DH26:DH30" si="11">(AZ26-C26)/AZ26</f>
        <v>8.898109727985247E-2</v>
      </c>
      <c r="DI26" s="12">
        <f t="shared" ref="DI26:DI30" si="12">(BA26-D26)/BA26</f>
        <v>5.8325024925224324E-2</v>
      </c>
    </row>
    <row r="27" spans="1:113" ht="17" thickBot="1" x14ac:dyDescent="0.25">
      <c r="A27" t="s">
        <v>13</v>
      </c>
      <c r="B27" s="1">
        <v>45505</v>
      </c>
      <c r="C27">
        <v>537.25</v>
      </c>
      <c r="D27">
        <v>463</v>
      </c>
      <c r="E27">
        <v>-13.8203815728245</v>
      </c>
      <c r="G27" t="s">
        <v>13</v>
      </c>
      <c r="H27" s="1">
        <v>45512</v>
      </c>
      <c r="I27">
        <v>559.75</v>
      </c>
      <c r="J27">
        <v>518</v>
      </c>
      <c r="K27">
        <v>-7.4586869138007996</v>
      </c>
      <c r="M27" t="s">
        <v>13</v>
      </c>
      <c r="N27" s="1">
        <v>45517</v>
      </c>
      <c r="O27">
        <v>606</v>
      </c>
      <c r="P27">
        <v>504.25</v>
      </c>
      <c r="Q27">
        <v>-16.790429042904201</v>
      </c>
      <c r="S27" t="s">
        <v>13</v>
      </c>
      <c r="T27" s="1">
        <v>45522</v>
      </c>
      <c r="U27">
        <v>615.5</v>
      </c>
      <c r="V27">
        <v>510.5</v>
      </c>
      <c r="W27">
        <v>-17.059301380990998</v>
      </c>
      <c r="Y27" t="s">
        <v>13</v>
      </c>
      <c r="Z27" s="1">
        <v>45530</v>
      </c>
      <c r="AA27">
        <v>585</v>
      </c>
      <c r="AB27">
        <v>459</v>
      </c>
      <c r="AC27" s="13">
        <v>-21.538461538461501</v>
      </c>
      <c r="AN27" s="17" t="s">
        <v>13</v>
      </c>
      <c r="AO27" s="1">
        <v>45551</v>
      </c>
      <c r="AP27">
        <v>634.75</v>
      </c>
      <c r="AQ27">
        <v>519.75</v>
      </c>
      <c r="AR27" s="13">
        <v>-18.1173690429302</v>
      </c>
      <c r="AS27" s="17" t="s">
        <v>13</v>
      </c>
      <c r="AT27" s="22">
        <v>45558</v>
      </c>
      <c r="AU27" s="21">
        <v>628</v>
      </c>
      <c r="AV27" s="21">
        <v>509.75</v>
      </c>
      <c r="AW27" s="31">
        <v>-18.829617834394899</v>
      </c>
      <c r="AX27" s="17" t="s">
        <v>13</v>
      </c>
      <c r="AY27" s="22">
        <v>45565</v>
      </c>
      <c r="AZ27" s="21">
        <v>609</v>
      </c>
      <c r="BA27" s="21">
        <v>477.75</v>
      </c>
      <c r="BB27" s="29">
        <v>-21.551724137931</v>
      </c>
      <c r="BC27" t="s">
        <v>13</v>
      </c>
      <c r="BD27" s="22">
        <v>45572</v>
      </c>
      <c r="BE27" s="21">
        <v>625.25</v>
      </c>
      <c r="BF27" s="21">
        <v>478.75</v>
      </c>
      <c r="BG27" s="31">
        <v>-23.430627748900399</v>
      </c>
      <c r="BH27" s="35" t="s">
        <v>13</v>
      </c>
      <c r="BI27" s="22">
        <v>45579</v>
      </c>
      <c r="BJ27" s="21">
        <v>614.75</v>
      </c>
      <c r="BK27" s="21">
        <v>497.5</v>
      </c>
      <c r="BL27" s="31">
        <v>-19.072793818625399</v>
      </c>
      <c r="BM27" s="17" t="s">
        <v>13</v>
      </c>
      <c r="BN27" s="1">
        <v>45586</v>
      </c>
      <c r="BO27">
        <v>602.75</v>
      </c>
      <c r="BP27">
        <v>516</v>
      </c>
      <c r="BQ27" s="39">
        <v>-14.3923683119037</v>
      </c>
      <c r="BR27" s="17" t="s">
        <v>13</v>
      </c>
      <c r="BS27" s="1">
        <v>45593</v>
      </c>
      <c r="BT27">
        <v>596.5</v>
      </c>
      <c r="BU27">
        <v>482.75</v>
      </c>
      <c r="BV27" s="39">
        <v>-19.069572506286601</v>
      </c>
      <c r="BW27" s="17" t="s">
        <v>13</v>
      </c>
      <c r="BX27" s="1">
        <v>45600</v>
      </c>
      <c r="BY27">
        <v>603</v>
      </c>
      <c r="BZ27">
        <v>482.5</v>
      </c>
      <c r="CA27" s="39">
        <v>-19.9834162520729</v>
      </c>
      <c r="CB27" s="17" t="s">
        <v>13</v>
      </c>
      <c r="CC27" s="1">
        <v>45607</v>
      </c>
      <c r="CD27">
        <v>590.75</v>
      </c>
      <c r="CE27">
        <v>471.5</v>
      </c>
      <c r="CF27" s="39">
        <v>-20.186203977994001</v>
      </c>
      <c r="CG27" s="17" t="s">
        <v>13</v>
      </c>
      <c r="CH27" s="1">
        <v>45614</v>
      </c>
      <c r="CI27">
        <v>588.75</v>
      </c>
      <c r="CJ27">
        <v>524</v>
      </c>
      <c r="CK27" s="40">
        <v>-10.9978768577494</v>
      </c>
      <c r="CL27" s="17" t="s">
        <v>13</v>
      </c>
      <c r="CM27" s="1">
        <v>45621</v>
      </c>
      <c r="CN27">
        <v>562</v>
      </c>
      <c r="CO27">
        <v>490.5</v>
      </c>
      <c r="CP27" s="40">
        <v>-12.7224199288256</v>
      </c>
      <c r="CQ27" s="17" t="s">
        <v>13</v>
      </c>
      <c r="CR27" s="1">
        <v>45628</v>
      </c>
      <c r="CS27">
        <v>622.5</v>
      </c>
      <c r="CT27">
        <v>512.5</v>
      </c>
      <c r="CU27" s="40">
        <v>-17.670682730923598</v>
      </c>
      <c r="CV27" s="17" t="s">
        <v>13</v>
      </c>
      <c r="CW27" s="47">
        <v>45635</v>
      </c>
      <c r="CX27" s="46">
        <v>611.25</v>
      </c>
      <c r="CY27" s="46">
        <v>496.25</v>
      </c>
      <c r="CZ27" s="49">
        <v>-18.813905930470298</v>
      </c>
      <c r="DA27" s="9" t="s">
        <v>13</v>
      </c>
      <c r="DB27" s="11">
        <f t="shared" si="0"/>
        <v>599.59722222222217</v>
      </c>
      <c r="DC27" s="11">
        <f t="shared" si="1"/>
        <v>495.23611111111109</v>
      </c>
      <c r="DD27" s="12">
        <f t="shared" si="2"/>
        <v>1.9063849125198901E-2</v>
      </c>
      <c r="DE27" s="12">
        <f t="shared" si="3"/>
        <v>2.0431010355444115E-3</v>
      </c>
      <c r="DF27" s="12">
        <f t="shared" si="4"/>
        <v>-1.8404907975460124E-2</v>
      </c>
      <c r="DG27" s="12">
        <f t="shared" si="5"/>
        <v>-3.2745591939546598E-2</v>
      </c>
      <c r="DH27" s="12">
        <f t="shared" si="11"/>
        <v>0.11781609195402298</v>
      </c>
      <c r="DI27" s="12">
        <f t="shared" si="12"/>
        <v>3.0873888016745159E-2</v>
      </c>
    </row>
    <row r="28" spans="1:113" ht="17" thickBot="1" x14ac:dyDescent="0.25">
      <c r="A28" t="s">
        <v>15</v>
      </c>
      <c r="B28" s="1">
        <v>45505</v>
      </c>
      <c r="C28">
        <v>378.75</v>
      </c>
      <c r="D28">
        <v>426</v>
      </c>
      <c r="E28">
        <v>11.0915492957746</v>
      </c>
      <c r="G28" t="s">
        <v>15</v>
      </c>
      <c r="H28" s="1">
        <v>45512</v>
      </c>
      <c r="I28">
        <v>321.75</v>
      </c>
      <c r="J28">
        <v>349.25</v>
      </c>
      <c r="K28">
        <v>7.8740157480314901</v>
      </c>
      <c r="M28" t="s">
        <v>15</v>
      </c>
      <c r="N28" s="1">
        <v>45517</v>
      </c>
      <c r="O28">
        <v>352.25</v>
      </c>
      <c r="P28">
        <v>422.5</v>
      </c>
      <c r="Q28">
        <v>16.627218934911198</v>
      </c>
      <c r="S28" t="s">
        <v>15</v>
      </c>
      <c r="T28" s="1">
        <v>45522</v>
      </c>
      <c r="U28">
        <v>425.5</v>
      </c>
      <c r="V28">
        <v>397.25</v>
      </c>
      <c r="W28">
        <v>-6.6392479435957696</v>
      </c>
      <c r="Y28" t="s">
        <v>15</v>
      </c>
      <c r="Z28" s="1">
        <v>45530</v>
      </c>
      <c r="AA28">
        <v>446.75</v>
      </c>
      <c r="AB28">
        <v>385</v>
      </c>
      <c r="AC28">
        <v>-13.822048125349699</v>
      </c>
      <c r="AD28" t="s">
        <v>15</v>
      </c>
      <c r="AE28" s="1">
        <v>45537</v>
      </c>
      <c r="AF28">
        <v>359.75</v>
      </c>
      <c r="AG28">
        <v>364.25</v>
      </c>
      <c r="AH28">
        <v>1.2354152367879101</v>
      </c>
      <c r="AI28" t="s">
        <v>15</v>
      </c>
      <c r="AJ28" s="1">
        <v>45544</v>
      </c>
      <c r="AK28">
        <v>383</v>
      </c>
      <c r="AL28">
        <v>331.75</v>
      </c>
      <c r="AM28">
        <v>-13.381201044386399</v>
      </c>
      <c r="AN28" s="17" t="s">
        <v>15</v>
      </c>
      <c r="AO28" s="1">
        <v>45551</v>
      </c>
      <c r="AP28">
        <v>389.75</v>
      </c>
      <c r="AQ28">
        <v>331.75</v>
      </c>
      <c r="AR28">
        <v>-14.8813341885824</v>
      </c>
      <c r="AS28" s="17" t="s">
        <v>15</v>
      </c>
      <c r="AT28" s="22">
        <v>45558</v>
      </c>
      <c r="AU28" s="21">
        <v>414.75</v>
      </c>
      <c r="AV28" s="21">
        <v>392.5</v>
      </c>
      <c r="AW28" s="21">
        <v>-5.3646775165762497</v>
      </c>
      <c r="AX28" s="17" t="s">
        <v>15</v>
      </c>
      <c r="AY28" s="22">
        <v>45565</v>
      </c>
      <c r="AZ28" s="21">
        <v>424</v>
      </c>
      <c r="BA28" s="21">
        <v>371</v>
      </c>
      <c r="BB28" s="23">
        <v>-12.5</v>
      </c>
      <c r="BC28" t="s">
        <v>15</v>
      </c>
      <c r="BD28" s="22">
        <v>45572</v>
      </c>
      <c r="BE28" s="21">
        <v>383.25</v>
      </c>
      <c r="BF28" s="21">
        <v>346.25</v>
      </c>
      <c r="BG28" s="21">
        <v>-9.6542726679712896</v>
      </c>
      <c r="BH28" s="35" t="s">
        <v>15</v>
      </c>
      <c r="BI28" s="22">
        <v>45579</v>
      </c>
      <c r="BJ28" s="21">
        <v>464.25</v>
      </c>
      <c r="BK28" s="21">
        <v>374</v>
      </c>
      <c r="BL28" s="31">
        <v>-19.439956919762999</v>
      </c>
      <c r="BM28" s="17" t="s">
        <v>15</v>
      </c>
      <c r="BN28" s="1">
        <v>45586</v>
      </c>
      <c r="BO28">
        <v>361.5</v>
      </c>
      <c r="BP28">
        <v>323.5</v>
      </c>
      <c r="BQ28" s="40">
        <v>-10.511756569847799</v>
      </c>
      <c r="BR28" s="17" t="s">
        <v>15</v>
      </c>
      <c r="BS28" s="1">
        <v>45593</v>
      </c>
      <c r="BT28">
        <v>443.75</v>
      </c>
      <c r="BU28">
        <v>394</v>
      </c>
      <c r="BV28" s="40">
        <v>-11.2112676056338</v>
      </c>
      <c r="BW28" s="17" t="s">
        <v>15</v>
      </c>
      <c r="BX28" s="1">
        <v>45600</v>
      </c>
      <c r="BY28">
        <v>414.5</v>
      </c>
      <c r="BZ28">
        <v>376.5</v>
      </c>
      <c r="CA28" s="40">
        <v>-9.1676718938480004</v>
      </c>
      <c r="CB28" s="17" t="s">
        <v>15</v>
      </c>
      <c r="CC28" s="1">
        <v>45607</v>
      </c>
      <c r="CD28">
        <v>423.75</v>
      </c>
      <c r="CE28">
        <v>364.25</v>
      </c>
      <c r="CF28" s="40">
        <v>-14.0412979351032</v>
      </c>
      <c r="CG28" s="17" t="s">
        <v>15</v>
      </c>
      <c r="CH28" s="1">
        <v>45614</v>
      </c>
      <c r="CI28">
        <v>382.5</v>
      </c>
      <c r="CJ28">
        <v>346.75</v>
      </c>
      <c r="CK28" s="40">
        <v>-9.3464052287581705</v>
      </c>
      <c r="CL28" s="17" t="s">
        <v>15</v>
      </c>
      <c r="CM28" s="1">
        <v>45621</v>
      </c>
      <c r="CN28">
        <v>410</v>
      </c>
      <c r="CO28">
        <v>373.75</v>
      </c>
      <c r="CP28" s="40">
        <v>-8.8414634146341395</v>
      </c>
      <c r="CQ28" s="17" t="s">
        <v>15</v>
      </c>
      <c r="CR28" s="1">
        <v>45628</v>
      </c>
      <c r="CS28">
        <v>431</v>
      </c>
      <c r="CT28">
        <v>401.75</v>
      </c>
      <c r="CU28" s="40">
        <v>-6.7865429234338599</v>
      </c>
      <c r="CV28" s="17" t="s">
        <v>15</v>
      </c>
      <c r="CW28" s="47">
        <v>45635</v>
      </c>
      <c r="CX28" s="46">
        <v>411.5</v>
      </c>
      <c r="CY28" s="46">
        <v>377.25</v>
      </c>
      <c r="CZ28" s="40">
        <v>-8.3232077764276902</v>
      </c>
      <c r="DA28" s="9" t="s">
        <v>15</v>
      </c>
      <c r="DB28" s="11">
        <f t="shared" si="0"/>
        <v>402.06578947368422</v>
      </c>
      <c r="DC28" s="11">
        <f t="shared" si="1"/>
        <v>374.60526315789474</v>
      </c>
      <c r="DD28" s="12">
        <f t="shared" si="2"/>
        <v>2.2926392530536525E-2</v>
      </c>
      <c r="DE28" s="12">
        <f t="shared" si="3"/>
        <v>7.0105681699277941E-3</v>
      </c>
      <c r="DF28" s="12">
        <f t="shared" si="4"/>
        <v>-4.7387606318347507E-2</v>
      </c>
      <c r="DG28" s="12">
        <f t="shared" si="5"/>
        <v>-6.4943671305500328E-2</v>
      </c>
      <c r="DH28" s="12">
        <f t="shared" si="11"/>
        <v>0.10672169811320754</v>
      </c>
      <c r="DI28" s="12">
        <f t="shared" si="12"/>
        <v>-0.14824797843665768</v>
      </c>
    </row>
    <row r="29" spans="1:113" ht="17" thickBot="1" x14ac:dyDescent="0.25">
      <c r="A29" t="s">
        <v>30</v>
      </c>
      <c r="B29" s="1">
        <v>45505</v>
      </c>
      <c r="C29">
        <v>500.75</v>
      </c>
      <c r="D29">
        <v>530.75</v>
      </c>
      <c r="E29">
        <v>5.6523787093735196</v>
      </c>
      <c r="G29" t="s">
        <v>30</v>
      </c>
      <c r="H29" s="1">
        <v>45512</v>
      </c>
      <c r="I29">
        <v>315.75</v>
      </c>
      <c r="J29">
        <v>396.75</v>
      </c>
      <c r="K29">
        <v>20.4158790170132</v>
      </c>
      <c r="M29" t="s">
        <v>30</v>
      </c>
      <c r="N29" s="1">
        <v>45517</v>
      </c>
      <c r="O29">
        <v>485</v>
      </c>
      <c r="P29">
        <v>528.5</v>
      </c>
      <c r="Q29">
        <v>8.2308420056764398</v>
      </c>
      <c r="S29" t="s">
        <v>30</v>
      </c>
      <c r="T29" s="1">
        <v>45522</v>
      </c>
      <c r="U29">
        <v>492.5</v>
      </c>
      <c r="V29">
        <v>500.75</v>
      </c>
      <c r="W29">
        <v>1.6475287069395901</v>
      </c>
      <c r="AI29" t="s">
        <v>30</v>
      </c>
      <c r="AJ29" s="1">
        <v>45544</v>
      </c>
      <c r="AK29">
        <v>423.25</v>
      </c>
      <c r="AL29">
        <v>431.25</v>
      </c>
      <c r="AM29">
        <v>1.85507246376811</v>
      </c>
      <c r="AN29" s="17" t="s">
        <v>30</v>
      </c>
      <c r="AO29" s="1">
        <v>45551</v>
      </c>
      <c r="AP29">
        <v>449.75</v>
      </c>
      <c r="AQ29">
        <v>408.75</v>
      </c>
      <c r="AR29">
        <v>-9.1161756531406297</v>
      </c>
      <c r="AS29" s="17" t="s">
        <v>30</v>
      </c>
      <c r="AT29" s="22">
        <v>45558</v>
      </c>
      <c r="AU29" s="21">
        <v>524.5</v>
      </c>
      <c r="AV29" s="21">
        <v>527.5</v>
      </c>
      <c r="AW29" s="21">
        <v>0.56872037914691398</v>
      </c>
      <c r="AX29" s="17" t="s">
        <v>30</v>
      </c>
      <c r="AY29" s="22">
        <v>45565</v>
      </c>
      <c r="AZ29" s="21">
        <v>486.75</v>
      </c>
      <c r="BA29" s="21">
        <v>463</v>
      </c>
      <c r="BB29" s="23">
        <v>-4.8793014894709703</v>
      </c>
      <c r="BC29" t="s">
        <v>30</v>
      </c>
      <c r="BD29" s="22">
        <v>45572</v>
      </c>
      <c r="BE29" s="21">
        <v>532</v>
      </c>
      <c r="BF29" s="21">
        <v>485.5</v>
      </c>
      <c r="BG29" s="21">
        <v>-8.7406015037593896</v>
      </c>
      <c r="BH29" s="35" t="s">
        <v>30</v>
      </c>
      <c r="BI29" s="22">
        <v>45579</v>
      </c>
      <c r="BJ29" s="21">
        <v>435.25</v>
      </c>
      <c r="BK29" s="21">
        <v>400.75</v>
      </c>
      <c r="BL29" s="21">
        <v>-7.92647903503733</v>
      </c>
      <c r="BM29" s="17" t="s">
        <v>30</v>
      </c>
      <c r="BN29" s="1">
        <v>45586</v>
      </c>
      <c r="BO29">
        <v>497</v>
      </c>
      <c r="BP29">
        <v>463.25</v>
      </c>
      <c r="BQ29" s="40">
        <v>-6.7907444668007999</v>
      </c>
      <c r="BR29" s="17" t="s">
        <v>30</v>
      </c>
      <c r="BS29" s="1">
        <v>45592</v>
      </c>
      <c r="BT29">
        <v>493.25</v>
      </c>
      <c r="BU29">
        <v>458.5</v>
      </c>
      <c r="BV29" s="40">
        <v>-7.0451089711099799</v>
      </c>
      <c r="BW29" s="17" t="s">
        <v>30</v>
      </c>
      <c r="BX29" s="1">
        <v>45600</v>
      </c>
      <c r="BY29">
        <v>524</v>
      </c>
      <c r="BZ29">
        <v>459.5</v>
      </c>
      <c r="CA29" s="40">
        <v>-12.3091603053435</v>
      </c>
      <c r="CB29" s="17" t="s">
        <v>30</v>
      </c>
      <c r="CC29" s="1">
        <v>45607</v>
      </c>
      <c r="CD29">
        <v>496.5</v>
      </c>
      <c r="CE29">
        <v>373.25</v>
      </c>
      <c r="CF29" s="40">
        <v>-24.823766364551801</v>
      </c>
      <c r="CG29" s="17" t="s">
        <v>30</v>
      </c>
      <c r="CH29" s="1">
        <v>45614</v>
      </c>
      <c r="CI29">
        <v>411.25</v>
      </c>
      <c r="CJ29">
        <v>353.25</v>
      </c>
      <c r="CK29" s="40">
        <v>-14.1033434650455</v>
      </c>
      <c r="CL29" s="17" t="s">
        <v>30</v>
      </c>
      <c r="CM29" s="1">
        <v>45621</v>
      </c>
      <c r="CN29">
        <v>447.75</v>
      </c>
      <c r="CO29">
        <v>385</v>
      </c>
      <c r="CP29" s="40">
        <v>-14.014517029592399</v>
      </c>
      <c r="CQ29" s="17" t="s">
        <v>30</v>
      </c>
      <c r="CR29" s="1">
        <v>45628</v>
      </c>
      <c r="CS29">
        <v>428.75</v>
      </c>
      <c r="CT29">
        <v>350.25</v>
      </c>
      <c r="CU29" s="40">
        <v>-18.3090379008746</v>
      </c>
      <c r="CV29" s="17" t="s">
        <v>30</v>
      </c>
      <c r="CW29" s="47">
        <v>45635</v>
      </c>
      <c r="CX29" s="46">
        <v>414.75</v>
      </c>
      <c r="CY29" s="46">
        <v>375.75</v>
      </c>
      <c r="CZ29" s="40">
        <v>-9.4032549728752297</v>
      </c>
      <c r="DA29" s="9" t="s">
        <v>30</v>
      </c>
      <c r="DB29" s="11">
        <f t="shared" si="0"/>
        <v>466.79411764705884</v>
      </c>
      <c r="DC29" s="11">
        <f t="shared" si="1"/>
        <v>438.88235294117646</v>
      </c>
      <c r="DD29" s="12">
        <f t="shared" si="2"/>
        <v>-0.1254831046342588</v>
      </c>
      <c r="DE29" s="12">
        <f t="shared" si="3"/>
        <v>-0.16801690736174707</v>
      </c>
      <c r="DF29" s="12">
        <f t="shared" si="4"/>
        <v>-3.3755274261603373E-2</v>
      </c>
      <c r="DG29" s="12">
        <f t="shared" si="5"/>
        <v>6.7864271457085831E-2</v>
      </c>
      <c r="DH29" s="12">
        <f t="shared" si="11"/>
        <v>-2.8762198253723677E-2</v>
      </c>
      <c r="DI29" s="12">
        <f t="shared" si="12"/>
        <v>-0.14632829373650108</v>
      </c>
    </row>
    <row r="30" spans="1:113" ht="17" thickBot="1" x14ac:dyDescent="0.25">
      <c r="A30" t="s">
        <v>31</v>
      </c>
      <c r="B30" s="1">
        <v>45505</v>
      </c>
      <c r="C30">
        <v>287.25</v>
      </c>
      <c r="D30">
        <v>318.75</v>
      </c>
      <c r="E30">
        <v>9.8823529411764692</v>
      </c>
      <c r="G30" t="s">
        <v>31</v>
      </c>
      <c r="H30" s="1">
        <v>45512</v>
      </c>
      <c r="I30">
        <v>256.5</v>
      </c>
      <c r="J30">
        <v>339.5</v>
      </c>
      <c r="K30">
        <v>24.447717231222299</v>
      </c>
      <c r="S30" t="s">
        <v>31</v>
      </c>
      <c r="T30" s="1">
        <v>45522</v>
      </c>
      <c r="U30">
        <v>211.25</v>
      </c>
      <c r="V30">
        <v>291.5</v>
      </c>
      <c r="W30">
        <v>27.530017152658601</v>
      </c>
      <c r="AI30" t="s">
        <v>31</v>
      </c>
      <c r="AJ30" s="1">
        <v>45544</v>
      </c>
      <c r="AK30">
        <v>183.25</v>
      </c>
      <c r="AL30">
        <v>307.75</v>
      </c>
      <c r="AM30" s="13">
        <v>40.454914703493003</v>
      </c>
      <c r="AN30" t="s">
        <v>31</v>
      </c>
      <c r="AO30" s="1">
        <v>45552</v>
      </c>
      <c r="AP30">
        <v>194</v>
      </c>
      <c r="AQ30">
        <v>274</v>
      </c>
      <c r="AR30" s="13">
        <v>29.3</v>
      </c>
      <c r="AS30" t="s">
        <v>31</v>
      </c>
      <c r="AT30" s="22">
        <v>45559</v>
      </c>
      <c r="AU30" s="21">
        <v>246</v>
      </c>
      <c r="AV30" s="21">
        <v>219</v>
      </c>
      <c r="AW30" s="21">
        <v>-11.2</v>
      </c>
      <c r="AX30" t="s">
        <v>31</v>
      </c>
      <c r="AY30" s="22">
        <v>45565</v>
      </c>
      <c r="AZ30" s="21">
        <v>253</v>
      </c>
      <c r="BA30" s="21">
        <v>280</v>
      </c>
      <c r="BB30" s="23">
        <v>9.8000000000000007</v>
      </c>
      <c r="BC30" t="s">
        <v>31</v>
      </c>
      <c r="BD30" s="22">
        <v>45572</v>
      </c>
      <c r="BE30" s="21">
        <v>281.5</v>
      </c>
      <c r="BF30" s="21">
        <v>299.5</v>
      </c>
      <c r="BG30" s="21">
        <v>6.01001669449081</v>
      </c>
      <c r="BH30" s="35" t="s">
        <v>31</v>
      </c>
      <c r="BI30" s="22">
        <v>45579</v>
      </c>
      <c r="BJ30" s="21">
        <v>289.75</v>
      </c>
      <c r="BK30" s="21">
        <v>287</v>
      </c>
      <c r="BL30" s="21">
        <v>-0.94909404659189101</v>
      </c>
      <c r="BM30" s="17" t="s">
        <v>31</v>
      </c>
      <c r="BN30" s="1">
        <v>45586</v>
      </c>
      <c r="BO30">
        <v>299</v>
      </c>
      <c r="BP30">
        <v>322.25</v>
      </c>
      <c r="BQ30" s="40">
        <v>7.2148952676493403</v>
      </c>
      <c r="BR30" s="17" t="s">
        <v>31</v>
      </c>
      <c r="BS30" s="1">
        <v>45593</v>
      </c>
      <c r="BT30">
        <v>344</v>
      </c>
      <c r="BU30">
        <v>348.25</v>
      </c>
      <c r="BV30" s="40">
        <v>1.22038765254846</v>
      </c>
      <c r="BW30" s="17" t="s">
        <v>31</v>
      </c>
      <c r="BX30" s="1">
        <v>45600</v>
      </c>
      <c r="BY30">
        <v>299.75</v>
      </c>
      <c r="BZ30">
        <v>303.5</v>
      </c>
      <c r="CA30" s="40">
        <v>1.23558484349258</v>
      </c>
      <c r="CB30" s="17" t="s">
        <v>31</v>
      </c>
      <c r="CC30" s="1">
        <v>45607</v>
      </c>
      <c r="CD30">
        <v>289.75</v>
      </c>
      <c r="CE30">
        <v>291.75</v>
      </c>
      <c r="CF30" s="40">
        <v>0.68551842330762902</v>
      </c>
      <c r="CG30" s="17" t="s">
        <v>31</v>
      </c>
      <c r="CH30" s="1">
        <v>45614</v>
      </c>
      <c r="CI30">
        <v>250</v>
      </c>
      <c r="CJ30">
        <v>300</v>
      </c>
      <c r="CK30" s="39">
        <v>16.6666666666666</v>
      </c>
      <c r="CL30" s="17" t="s">
        <v>31</v>
      </c>
      <c r="CM30" s="1">
        <v>45621</v>
      </c>
      <c r="CN30">
        <v>289.5</v>
      </c>
      <c r="CO30">
        <v>344</v>
      </c>
      <c r="CP30" s="39">
        <v>15.8430232558139</v>
      </c>
      <c r="CQ30" s="17" t="s">
        <v>31</v>
      </c>
      <c r="CR30" s="1">
        <v>45628</v>
      </c>
      <c r="CS30">
        <v>304.75</v>
      </c>
      <c r="CT30">
        <v>349</v>
      </c>
      <c r="CU30" s="40">
        <v>12.6790830945558</v>
      </c>
      <c r="CV30" s="17" t="s">
        <v>31</v>
      </c>
      <c r="CW30" s="47">
        <v>45635</v>
      </c>
      <c r="CX30" s="46">
        <v>286</v>
      </c>
      <c r="CY30" s="46">
        <v>313.75</v>
      </c>
      <c r="CZ30" s="40">
        <v>8.8446215139442295</v>
      </c>
      <c r="DA30" s="9" t="s">
        <v>31</v>
      </c>
      <c r="DB30" s="11">
        <f t="shared" si="0"/>
        <v>273.875</v>
      </c>
      <c r="DC30" s="11">
        <f t="shared" si="1"/>
        <v>305.109375</v>
      </c>
      <c r="DD30" s="12">
        <f t="shared" si="2"/>
        <v>4.2395104895104896E-2</v>
      </c>
      <c r="DE30" s="12">
        <f t="shared" si="3"/>
        <v>2.75398406374502E-2</v>
      </c>
      <c r="DF30" s="12">
        <f t="shared" si="4"/>
        <v>-6.555944055944056E-2</v>
      </c>
      <c r="DG30" s="12">
        <f t="shared" si="5"/>
        <v>-0.11235059760956176</v>
      </c>
      <c r="DH30" s="12">
        <f t="shared" si="11"/>
        <v>-0.13537549407114624</v>
      </c>
      <c r="DI30" s="12">
        <f t="shared" si="12"/>
        <v>-0.13839285714285715</v>
      </c>
    </row>
    <row r="31" spans="1:113" ht="17" thickBot="1" x14ac:dyDescent="0.25">
      <c r="G31" t="s">
        <v>9</v>
      </c>
      <c r="H31" s="1">
        <v>45512</v>
      </c>
      <c r="I31">
        <v>247.25</v>
      </c>
      <c r="J31">
        <v>230.5</v>
      </c>
      <c r="K31">
        <v>-6.7745197168857398</v>
      </c>
      <c r="M31" t="s">
        <v>9</v>
      </c>
      <c r="N31" s="1">
        <v>45517</v>
      </c>
      <c r="O31">
        <v>178.5</v>
      </c>
      <c r="P31">
        <v>225</v>
      </c>
      <c r="Q31">
        <v>20.6666666666666</v>
      </c>
      <c r="S31" t="s">
        <v>9</v>
      </c>
      <c r="T31" s="1">
        <v>45522</v>
      </c>
      <c r="U31">
        <v>304.25</v>
      </c>
      <c r="V31">
        <v>259.25</v>
      </c>
      <c r="W31">
        <v>-14.790468364831501</v>
      </c>
      <c r="Y31" t="s">
        <v>9</v>
      </c>
      <c r="Z31" s="1">
        <v>45530</v>
      </c>
      <c r="AA31">
        <v>271.5</v>
      </c>
      <c r="AB31">
        <v>210</v>
      </c>
      <c r="AC31">
        <v>-22.651933701657399</v>
      </c>
      <c r="AD31" t="s">
        <v>9</v>
      </c>
      <c r="AE31" s="1">
        <v>45537</v>
      </c>
      <c r="AF31">
        <v>350.25</v>
      </c>
      <c r="AG31">
        <v>252.5</v>
      </c>
      <c r="AH31" s="13">
        <v>-27.908636688079898</v>
      </c>
      <c r="AI31" t="s">
        <v>9</v>
      </c>
      <c r="AJ31" s="1">
        <v>45544</v>
      </c>
      <c r="AK31">
        <v>380.75</v>
      </c>
      <c r="AL31">
        <v>242.75</v>
      </c>
      <c r="AM31" s="13">
        <v>-36.244254760341398</v>
      </c>
      <c r="AN31" s="17" t="s">
        <v>9</v>
      </c>
      <c r="AO31" s="1">
        <v>45551</v>
      </c>
      <c r="AP31">
        <v>426</v>
      </c>
      <c r="AQ31">
        <v>319.25</v>
      </c>
      <c r="AR31" s="13">
        <v>-25.058685446009299</v>
      </c>
      <c r="AS31" s="17" t="s">
        <v>9</v>
      </c>
      <c r="AT31" s="22">
        <v>45558</v>
      </c>
      <c r="AU31" s="21">
        <v>403</v>
      </c>
      <c r="AV31" s="21">
        <v>284.5</v>
      </c>
      <c r="AW31" s="31">
        <v>-29.404466501240702</v>
      </c>
      <c r="AX31" s="17" t="s">
        <v>9</v>
      </c>
      <c r="AY31" s="22">
        <v>45565</v>
      </c>
      <c r="AZ31" s="21">
        <v>355</v>
      </c>
      <c r="BA31" s="21">
        <v>298.5</v>
      </c>
      <c r="BB31" s="23">
        <v>-15.9154929577464</v>
      </c>
      <c r="BC31" t="s">
        <v>9</v>
      </c>
      <c r="BD31" s="22">
        <v>45572</v>
      </c>
      <c r="BE31" s="21">
        <v>454.75</v>
      </c>
      <c r="BF31" s="21">
        <v>277.25</v>
      </c>
      <c r="BG31" s="31">
        <v>-39.032435404068103</v>
      </c>
      <c r="BH31" s="35" t="s">
        <v>9</v>
      </c>
      <c r="BI31" s="22">
        <v>45579</v>
      </c>
      <c r="BJ31" s="21">
        <v>378.75</v>
      </c>
      <c r="BK31" s="21">
        <v>309</v>
      </c>
      <c r="BL31" s="31">
        <v>-18.4158415841584</v>
      </c>
      <c r="BM31" s="17" t="s">
        <v>9</v>
      </c>
      <c r="BN31" s="1">
        <v>45586</v>
      </c>
      <c r="BO31">
        <v>400.75</v>
      </c>
      <c r="BP31">
        <v>291</v>
      </c>
      <c r="BQ31" s="39">
        <v>-27.386150966936899</v>
      </c>
      <c r="BR31" s="17" t="s">
        <v>9</v>
      </c>
      <c r="BS31" s="1">
        <v>45593</v>
      </c>
      <c r="BT31">
        <v>439.75</v>
      </c>
      <c r="BU31">
        <v>330.25</v>
      </c>
      <c r="BV31" s="39">
        <v>-24.900511654349</v>
      </c>
      <c r="BW31" s="17" t="s">
        <v>9</v>
      </c>
      <c r="BX31" s="1">
        <v>45600</v>
      </c>
      <c r="BY31">
        <v>434.75</v>
      </c>
      <c r="BZ31">
        <v>255.75</v>
      </c>
      <c r="CA31" s="40">
        <v>-41.173087981598599</v>
      </c>
      <c r="CB31" s="17" t="s">
        <v>9</v>
      </c>
      <c r="CC31" s="1">
        <v>45607</v>
      </c>
      <c r="CD31">
        <v>425</v>
      </c>
      <c r="CE31">
        <v>271.5</v>
      </c>
      <c r="CF31" s="39">
        <v>-36.117647058823501</v>
      </c>
      <c r="CG31" s="17" t="s">
        <v>9</v>
      </c>
      <c r="CH31" s="1">
        <v>45614</v>
      </c>
      <c r="CI31">
        <v>397.5</v>
      </c>
      <c r="CJ31">
        <v>280.25</v>
      </c>
      <c r="CK31" s="39">
        <v>-29.4968553459119</v>
      </c>
      <c r="CL31" s="17" t="s">
        <v>9</v>
      </c>
      <c r="CM31" s="1">
        <v>45621</v>
      </c>
      <c r="CN31">
        <v>361</v>
      </c>
      <c r="CO31">
        <v>319.5</v>
      </c>
      <c r="CP31" s="40">
        <v>-11.495844875346201</v>
      </c>
      <c r="CQ31" s="17" t="s">
        <v>9</v>
      </c>
      <c r="CR31" s="1">
        <v>45628</v>
      </c>
      <c r="CS31">
        <v>287.5</v>
      </c>
      <c r="CT31">
        <v>285.25</v>
      </c>
      <c r="CU31" s="40">
        <v>-0.78260869565217595</v>
      </c>
      <c r="CV31" s="17" t="s">
        <v>9</v>
      </c>
      <c r="CW31" s="47">
        <v>45635</v>
      </c>
      <c r="CX31" s="46">
        <v>319</v>
      </c>
      <c r="CY31" s="46">
        <v>294</v>
      </c>
      <c r="CZ31" s="40">
        <v>-7.8369905956112804</v>
      </c>
      <c r="DA31" s="9" t="s">
        <v>9</v>
      </c>
      <c r="DB31" s="11">
        <f t="shared" si="0"/>
        <v>357.47222222222223</v>
      </c>
      <c r="DC31" s="11">
        <f t="shared" si="1"/>
        <v>277.40277777777777</v>
      </c>
      <c r="DD31" s="12">
        <f t="shared" si="2"/>
        <v>-0.12060257749912924</v>
      </c>
      <c r="DE31" s="12">
        <f t="shared" si="3"/>
        <v>5.6453136810279692E-2</v>
      </c>
      <c r="DF31" s="12">
        <f t="shared" si="4"/>
        <v>9.8746081504702196E-2</v>
      </c>
      <c r="DG31" s="12">
        <f t="shared" si="5"/>
        <v>2.976190476190476E-2</v>
      </c>
      <c r="DH31" s="12">
        <f>(AZ31-I31)/AZ31</f>
        <v>0.30352112676056336</v>
      </c>
      <c r="DI31" s="12">
        <f>(BA31-J31)/BA31</f>
        <v>0.22780569514237856</v>
      </c>
    </row>
    <row r="32" spans="1:113" ht="17" thickBot="1" x14ac:dyDescent="0.25">
      <c r="A32" t="s">
        <v>44</v>
      </c>
      <c r="B32" s="1">
        <v>45507</v>
      </c>
      <c r="C32">
        <v>311</v>
      </c>
      <c r="D32">
        <v>308</v>
      </c>
      <c r="H32" s="1"/>
      <c r="N32" s="1"/>
      <c r="T32" s="1"/>
      <c r="Z32" s="1"/>
      <c r="AD32" t="s">
        <v>44</v>
      </c>
      <c r="AE32" s="1">
        <v>45537</v>
      </c>
      <c r="AF32">
        <v>300</v>
      </c>
      <c r="AG32">
        <v>312</v>
      </c>
      <c r="AH32">
        <v>3.84615384615384</v>
      </c>
      <c r="AI32" t="s">
        <v>44</v>
      </c>
      <c r="AJ32" s="1">
        <v>45544</v>
      </c>
      <c r="AK32">
        <v>364</v>
      </c>
      <c r="AL32">
        <v>371.5</v>
      </c>
      <c r="AM32">
        <v>2.0188425302826301</v>
      </c>
      <c r="AN32" s="17" t="s">
        <v>44</v>
      </c>
      <c r="AO32" s="1">
        <v>45551</v>
      </c>
      <c r="AP32">
        <v>339</v>
      </c>
      <c r="AQ32">
        <v>334.25</v>
      </c>
      <c r="AR32">
        <v>-1.40117994100295</v>
      </c>
      <c r="AS32" s="17" t="s">
        <v>44</v>
      </c>
      <c r="AT32" s="22">
        <v>45558</v>
      </c>
      <c r="AU32" s="21">
        <v>351.25</v>
      </c>
      <c r="AV32" s="21">
        <v>333</v>
      </c>
      <c r="AW32" s="21">
        <v>-5.1957295373665398</v>
      </c>
      <c r="AX32" s="17" t="s">
        <v>44</v>
      </c>
      <c r="AY32" s="22">
        <v>45565</v>
      </c>
      <c r="AZ32" s="21">
        <v>319.5</v>
      </c>
      <c r="BA32" s="21">
        <v>252.75</v>
      </c>
      <c r="BB32" s="23">
        <v>-20.892018779342699</v>
      </c>
      <c r="BC32" t="s">
        <v>44</v>
      </c>
      <c r="BD32" s="22">
        <v>45572</v>
      </c>
      <c r="BE32" s="21">
        <v>338</v>
      </c>
      <c r="BF32" s="21">
        <v>296.75</v>
      </c>
      <c r="BG32" s="21">
        <v>-12.2041420118343</v>
      </c>
      <c r="BH32" s="35" t="s">
        <v>44</v>
      </c>
      <c r="BI32" s="22">
        <v>45579</v>
      </c>
      <c r="BJ32" s="21">
        <v>332</v>
      </c>
      <c r="BK32" s="21">
        <v>255.75</v>
      </c>
      <c r="BL32" s="31">
        <v>-22.966867469879499</v>
      </c>
      <c r="BM32" s="17" t="s">
        <v>44</v>
      </c>
      <c r="BN32" s="1">
        <v>45586</v>
      </c>
      <c r="BO32">
        <v>347.5</v>
      </c>
      <c r="BP32">
        <v>311.75</v>
      </c>
      <c r="BQ32" s="40">
        <v>-10.2877697841726</v>
      </c>
      <c r="BR32" s="17" t="s">
        <v>44</v>
      </c>
      <c r="BS32" s="1">
        <v>45593</v>
      </c>
      <c r="BT32">
        <v>328</v>
      </c>
      <c r="BU32">
        <v>307.25</v>
      </c>
      <c r="BV32" s="40">
        <v>-6.3262195121951104</v>
      </c>
      <c r="BW32" s="17" t="s">
        <v>44</v>
      </c>
      <c r="BX32" s="1">
        <v>45600</v>
      </c>
      <c r="BY32">
        <v>352.5</v>
      </c>
      <c r="BZ32">
        <v>317.5</v>
      </c>
      <c r="CA32" s="40">
        <v>-9.9290780141843999</v>
      </c>
      <c r="CB32" s="17" t="s">
        <v>44</v>
      </c>
      <c r="CC32" s="1">
        <v>45607</v>
      </c>
      <c r="CD32">
        <v>380.75</v>
      </c>
      <c r="CE32">
        <v>320.75</v>
      </c>
      <c r="CF32" s="39">
        <v>-15.758371634931001</v>
      </c>
      <c r="CG32" s="17" t="s">
        <v>44</v>
      </c>
      <c r="CH32" s="1">
        <v>45614</v>
      </c>
      <c r="CI32">
        <v>376.25</v>
      </c>
      <c r="CJ32">
        <v>337.25</v>
      </c>
      <c r="CK32" s="40">
        <v>-10.3654485049833</v>
      </c>
      <c r="CL32" s="17" t="s">
        <v>44</v>
      </c>
      <c r="CM32" s="1">
        <v>45621</v>
      </c>
      <c r="CN32">
        <v>391.5</v>
      </c>
      <c r="CO32">
        <v>349.25</v>
      </c>
      <c r="CP32" s="40">
        <v>-10.7918263090676</v>
      </c>
      <c r="CQ32" s="17" t="s">
        <v>44</v>
      </c>
      <c r="CR32" s="1">
        <v>45628</v>
      </c>
      <c r="CS32">
        <v>367.75</v>
      </c>
      <c r="CT32">
        <v>331.5</v>
      </c>
      <c r="CU32" s="40">
        <v>-9.8572399728076192</v>
      </c>
      <c r="CV32" s="17" t="s">
        <v>44</v>
      </c>
      <c r="CW32" s="47">
        <v>45635</v>
      </c>
      <c r="CX32" s="46">
        <v>379</v>
      </c>
      <c r="CY32" s="46">
        <v>344.5</v>
      </c>
      <c r="CZ32" s="40">
        <v>-9.1029023746701796</v>
      </c>
      <c r="DA32" s="9" t="s">
        <v>44</v>
      </c>
      <c r="DB32" s="11">
        <f t="shared" si="0"/>
        <v>347.6</v>
      </c>
      <c r="DC32" s="11">
        <f t="shared" si="1"/>
        <v>314.14999999999998</v>
      </c>
      <c r="DD32" s="12">
        <f t="shared" si="2"/>
        <v>8.2849604221635828E-2</v>
      </c>
      <c r="DE32" s="12">
        <f t="shared" si="3"/>
        <v>8.8098693759071187E-2</v>
      </c>
      <c r="DF32" s="12">
        <f t="shared" si="4"/>
        <v>2.9683377308707123E-2</v>
      </c>
      <c r="DG32" s="12">
        <f t="shared" si="5"/>
        <v>3.7735849056603772E-2</v>
      </c>
      <c r="DH32" s="12">
        <f t="shared" ref="DH32:DH35" si="13">(AZ32-C32)/AZ32</f>
        <v>2.6604068857589983E-2</v>
      </c>
      <c r="DI32" s="12">
        <f t="shared" ref="DI32:DI35" si="14">(BA32-D32)/BA32</f>
        <v>-0.21859545004945599</v>
      </c>
    </row>
    <row r="33" spans="1:113" ht="17" thickBot="1" x14ac:dyDescent="0.25">
      <c r="A33" t="s">
        <v>25</v>
      </c>
      <c r="B33" s="1">
        <v>45505</v>
      </c>
      <c r="C33">
        <v>275.5</v>
      </c>
      <c r="D33">
        <v>252</v>
      </c>
      <c r="E33">
        <v>-8.5299455535390205</v>
      </c>
      <c r="G33" t="s">
        <v>25</v>
      </c>
      <c r="H33" s="1">
        <v>45512</v>
      </c>
      <c r="I33">
        <v>280.75</v>
      </c>
      <c r="J33">
        <v>273.25</v>
      </c>
      <c r="K33">
        <v>-2.6714158504007099</v>
      </c>
      <c r="M33" t="s">
        <v>25</v>
      </c>
      <c r="N33" s="1">
        <v>45517</v>
      </c>
      <c r="O33">
        <v>329</v>
      </c>
      <c r="P33">
        <v>318.25</v>
      </c>
      <c r="Q33">
        <v>-3.26747720364741</v>
      </c>
      <c r="S33" t="s">
        <v>25</v>
      </c>
      <c r="T33" s="1">
        <v>45522</v>
      </c>
      <c r="U33">
        <v>338</v>
      </c>
      <c r="V33">
        <v>290.25</v>
      </c>
      <c r="W33">
        <v>-14.1272189349112</v>
      </c>
      <c r="Y33" t="s">
        <v>25</v>
      </c>
      <c r="Z33" s="1">
        <v>45530</v>
      </c>
      <c r="AA33">
        <v>335</v>
      </c>
      <c r="AB33">
        <v>275.25</v>
      </c>
      <c r="AC33">
        <v>-17.8358208955223</v>
      </c>
      <c r="AD33" t="s">
        <v>25</v>
      </c>
      <c r="AE33" s="1">
        <v>45537</v>
      </c>
      <c r="AF33">
        <v>302.25</v>
      </c>
      <c r="AG33">
        <v>284.75</v>
      </c>
      <c r="AH33">
        <v>-5.7899090157154598</v>
      </c>
      <c r="AI33" t="s">
        <v>25</v>
      </c>
      <c r="AJ33" s="1">
        <v>45544</v>
      </c>
      <c r="AK33">
        <v>319.25</v>
      </c>
      <c r="AL33">
        <v>301.5</v>
      </c>
      <c r="AM33">
        <v>-5.55990602975724</v>
      </c>
      <c r="AN33" s="17"/>
      <c r="AS33" s="17" t="s">
        <v>25</v>
      </c>
      <c r="AT33" s="22">
        <v>45558</v>
      </c>
      <c r="AU33" s="21">
        <v>400.25</v>
      </c>
      <c r="AV33" s="21">
        <v>348.75</v>
      </c>
      <c r="AW33" s="21">
        <v>-12.866958151155499</v>
      </c>
      <c r="AX33" s="17" t="s">
        <v>25</v>
      </c>
      <c r="AY33" s="22">
        <v>45565</v>
      </c>
      <c r="AZ33" s="21">
        <v>352</v>
      </c>
      <c r="BA33" s="21">
        <v>326.5</v>
      </c>
      <c r="BB33" s="23">
        <v>-7.2443181818181701</v>
      </c>
      <c r="BH33" s="35" t="s">
        <v>25</v>
      </c>
      <c r="BI33" s="22">
        <v>45579</v>
      </c>
      <c r="BJ33" s="21">
        <v>347.75</v>
      </c>
      <c r="BK33" s="21">
        <v>292.25</v>
      </c>
      <c r="BL33" s="31">
        <v>-15.959741193386</v>
      </c>
      <c r="BM33" s="17" t="s">
        <v>25</v>
      </c>
      <c r="BN33" s="1">
        <v>45586</v>
      </c>
      <c r="BO33">
        <v>324.5</v>
      </c>
      <c r="BP33">
        <v>314.25</v>
      </c>
      <c r="BQ33" s="40">
        <v>-3.1587057010785702</v>
      </c>
      <c r="BR33" s="17" t="s">
        <v>25</v>
      </c>
      <c r="BS33" s="1">
        <v>45593</v>
      </c>
      <c r="BT33">
        <v>316.5</v>
      </c>
      <c r="BU33">
        <v>275</v>
      </c>
      <c r="BV33" s="40">
        <v>-13.112164296998399</v>
      </c>
      <c r="BW33" s="17" t="s">
        <v>25</v>
      </c>
      <c r="BX33" s="1">
        <v>45600</v>
      </c>
      <c r="BY33">
        <v>288.25</v>
      </c>
      <c r="BZ33">
        <v>251.75</v>
      </c>
      <c r="CA33" s="40">
        <v>-12.662619254119599</v>
      </c>
      <c r="CB33" s="17" t="s">
        <v>25</v>
      </c>
      <c r="CC33" s="1">
        <v>45607</v>
      </c>
      <c r="CD33">
        <v>301</v>
      </c>
      <c r="CE33">
        <v>283</v>
      </c>
      <c r="CF33" s="40">
        <v>-5.9800664451827101</v>
      </c>
      <c r="CG33" s="17" t="s">
        <v>25</v>
      </c>
      <c r="CH33" s="1">
        <v>45614</v>
      </c>
      <c r="CI33">
        <v>287.5</v>
      </c>
      <c r="CJ33">
        <v>274.75</v>
      </c>
      <c r="CK33" s="40">
        <v>-4.4347826086956497</v>
      </c>
      <c r="CL33" s="17" t="s">
        <v>25</v>
      </c>
      <c r="CM33" s="1">
        <v>45621</v>
      </c>
      <c r="CN33">
        <v>295.5</v>
      </c>
      <c r="CO33">
        <v>251</v>
      </c>
      <c r="CP33" s="40">
        <v>-15.0592216582064</v>
      </c>
      <c r="CQ33" s="17" t="s">
        <v>25</v>
      </c>
      <c r="CR33" s="1">
        <v>45628</v>
      </c>
      <c r="CS33">
        <v>313.75</v>
      </c>
      <c r="CT33">
        <v>314</v>
      </c>
      <c r="CU33" s="40">
        <v>7.9617834394907203E-2</v>
      </c>
      <c r="CV33" s="17" t="s">
        <v>25</v>
      </c>
      <c r="CW33" s="47">
        <v>45635</v>
      </c>
      <c r="CX33" s="46">
        <v>338</v>
      </c>
      <c r="CY33" s="46">
        <v>250.75</v>
      </c>
      <c r="CZ33" s="49">
        <v>-25.813609467455599</v>
      </c>
      <c r="DA33" s="9" t="s">
        <v>25</v>
      </c>
      <c r="DB33" s="11">
        <f t="shared" si="0"/>
        <v>319.14705882352939</v>
      </c>
      <c r="DC33" s="11">
        <f t="shared" si="1"/>
        <v>286.80882352941177</v>
      </c>
      <c r="DD33" s="12">
        <f t="shared" si="2"/>
        <v>5.5777932474765111E-2</v>
      </c>
      <c r="DE33" s="12">
        <f t="shared" si="3"/>
        <v>-0.14380388247023637</v>
      </c>
      <c r="DF33" s="12">
        <f t="shared" si="4"/>
        <v>7.174556213017752E-2</v>
      </c>
      <c r="DG33" s="12">
        <f t="shared" si="5"/>
        <v>-0.25224327018943171</v>
      </c>
      <c r="DH33" s="12">
        <f t="shared" si="13"/>
        <v>0.21732954545454544</v>
      </c>
      <c r="DI33" s="12">
        <f t="shared" si="14"/>
        <v>0.22817764165390506</v>
      </c>
    </row>
    <row r="34" spans="1:113" ht="17" thickBot="1" x14ac:dyDescent="0.25">
      <c r="A34" t="s">
        <v>19</v>
      </c>
      <c r="B34" s="1">
        <v>45505</v>
      </c>
      <c r="C34">
        <v>328.5</v>
      </c>
      <c r="D34">
        <v>351</v>
      </c>
      <c r="E34">
        <v>6.4102564102564097</v>
      </c>
      <c r="G34" t="s">
        <v>19</v>
      </c>
      <c r="H34" s="1">
        <v>45512</v>
      </c>
      <c r="I34">
        <v>336</v>
      </c>
      <c r="J34">
        <v>348</v>
      </c>
      <c r="K34">
        <v>3.44827586206896</v>
      </c>
      <c r="M34" t="s">
        <v>19</v>
      </c>
      <c r="N34" s="1">
        <v>45517</v>
      </c>
      <c r="O34">
        <v>397.75</v>
      </c>
      <c r="P34">
        <v>390</v>
      </c>
      <c r="Q34">
        <v>-1.9484600879949701</v>
      </c>
      <c r="Y34" t="s">
        <v>19</v>
      </c>
      <c r="Z34" s="1">
        <v>45530</v>
      </c>
      <c r="AA34">
        <v>389.5</v>
      </c>
      <c r="AB34">
        <v>359.75</v>
      </c>
      <c r="AC34">
        <v>-7.6379974326058999</v>
      </c>
      <c r="AD34" t="s">
        <v>19</v>
      </c>
      <c r="AE34" s="1">
        <v>45537</v>
      </c>
      <c r="AF34">
        <v>299.25</v>
      </c>
      <c r="AG34">
        <v>319.25</v>
      </c>
      <c r="AH34">
        <v>6.26468285043069</v>
      </c>
      <c r="AI34" t="s">
        <v>19</v>
      </c>
      <c r="AJ34" s="1">
        <v>45544</v>
      </c>
      <c r="AK34">
        <v>358</v>
      </c>
      <c r="AL34">
        <v>333.75</v>
      </c>
      <c r="AM34">
        <v>-6.7737430167597799</v>
      </c>
      <c r="AN34" s="17" t="s">
        <v>19</v>
      </c>
      <c r="AO34" s="1">
        <v>45551</v>
      </c>
      <c r="AP34">
        <v>361.5</v>
      </c>
      <c r="AQ34">
        <v>361.5</v>
      </c>
      <c r="AR34">
        <v>0</v>
      </c>
      <c r="AS34" s="17" t="s">
        <v>19</v>
      </c>
      <c r="AT34" s="22">
        <v>45558</v>
      </c>
      <c r="AU34" s="21">
        <v>456</v>
      </c>
      <c r="AV34" s="21">
        <v>417.25</v>
      </c>
      <c r="AW34" s="21">
        <v>-8.4978070175438507</v>
      </c>
      <c r="AX34" s="17" t="s">
        <v>19</v>
      </c>
      <c r="AY34" s="22">
        <v>45565</v>
      </c>
      <c r="AZ34" s="21">
        <v>391</v>
      </c>
      <c r="BA34" s="21">
        <v>360</v>
      </c>
      <c r="BB34" s="23">
        <v>-7.92838874680307</v>
      </c>
      <c r="BC34" t="s">
        <v>19</v>
      </c>
      <c r="BD34" s="22">
        <v>45572</v>
      </c>
      <c r="BE34" s="21">
        <v>401.25</v>
      </c>
      <c r="BF34" s="21">
        <v>351.25</v>
      </c>
      <c r="BG34" s="21">
        <v>-12.461059190031101</v>
      </c>
      <c r="BH34" s="35" t="s">
        <v>19</v>
      </c>
      <c r="BI34" s="22">
        <v>45579</v>
      </c>
      <c r="BJ34" s="21">
        <v>440.25</v>
      </c>
      <c r="BK34" s="21">
        <v>396.25</v>
      </c>
      <c r="BL34" s="21">
        <v>-9.9943214082907392</v>
      </c>
      <c r="BM34" s="17" t="s">
        <v>19</v>
      </c>
      <c r="BN34" s="1">
        <v>45586</v>
      </c>
      <c r="BO34">
        <v>349.75</v>
      </c>
      <c r="BP34">
        <v>338.75</v>
      </c>
      <c r="BQ34" s="40">
        <v>-3.1451036454610399</v>
      </c>
      <c r="BR34" s="17" t="s">
        <v>19</v>
      </c>
      <c r="BS34" s="1">
        <v>45593</v>
      </c>
      <c r="BT34">
        <v>440</v>
      </c>
      <c r="BU34">
        <v>394</v>
      </c>
      <c r="BV34" s="40">
        <v>-10.4545454545454</v>
      </c>
      <c r="BW34" s="17" t="s">
        <v>19</v>
      </c>
      <c r="BX34" s="1">
        <v>45600</v>
      </c>
      <c r="BY34">
        <v>380.75</v>
      </c>
      <c r="BZ34">
        <v>367.25</v>
      </c>
      <c r="CA34" s="40">
        <v>-3.5456336178594801</v>
      </c>
      <c r="CB34" s="17" t="s">
        <v>19</v>
      </c>
      <c r="CC34" s="1">
        <v>45607</v>
      </c>
      <c r="CD34">
        <v>342.75</v>
      </c>
      <c r="CE34">
        <v>323.25</v>
      </c>
      <c r="CF34" s="40">
        <v>-5.6892778993435398</v>
      </c>
      <c r="CG34" s="17" t="s">
        <v>19</v>
      </c>
      <c r="CH34" s="1">
        <v>45614</v>
      </c>
      <c r="CI34">
        <v>409</v>
      </c>
      <c r="CJ34">
        <v>427.5</v>
      </c>
      <c r="CK34" s="40">
        <v>4.3274853801169497</v>
      </c>
      <c r="CL34" s="17" t="s">
        <v>19</v>
      </c>
      <c r="CM34" s="1">
        <v>45621</v>
      </c>
      <c r="CN34">
        <v>397.25</v>
      </c>
      <c r="CO34">
        <v>400</v>
      </c>
      <c r="CP34" s="40">
        <v>0.687499999999996</v>
      </c>
      <c r="CQ34" s="17" t="s">
        <v>19</v>
      </c>
      <c r="CR34" s="1">
        <v>45628</v>
      </c>
      <c r="CS34">
        <v>407.25</v>
      </c>
      <c r="CT34">
        <v>410</v>
      </c>
      <c r="CU34" s="40">
        <v>0.67073170731707299</v>
      </c>
      <c r="CV34" s="17" t="s">
        <v>19</v>
      </c>
      <c r="CW34" s="47">
        <v>45635</v>
      </c>
      <c r="CX34" s="46">
        <v>391.25</v>
      </c>
      <c r="CY34" s="46">
        <v>408</v>
      </c>
      <c r="CZ34" s="40">
        <v>4.1053921568627398</v>
      </c>
      <c r="DA34" s="9" t="s">
        <v>19</v>
      </c>
      <c r="DB34" s="11">
        <f t="shared" si="0"/>
        <v>384.38888888888891</v>
      </c>
      <c r="DC34" s="11">
        <f t="shared" si="1"/>
        <v>373.5</v>
      </c>
      <c r="DD34" s="12">
        <f t="shared" si="2"/>
        <v>1.7536386226482008E-2</v>
      </c>
      <c r="DE34" s="12">
        <f t="shared" si="3"/>
        <v>8.455882352941177E-2</v>
      </c>
      <c r="DF34" s="12">
        <f t="shared" si="4"/>
        <v>-4.0894568690095848E-2</v>
      </c>
      <c r="DG34" s="12">
        <f t="shared" si="5"/>
        <v>-4.9019607843137254E-3</v>
      </c>
      <c r="DH34" s="12">
        <f t="shared" si="13"/>
        <v>0.15984654731457801</v>
      </c>
      <c r="DI34" s="12">
        <f t="shared" si="14"/>
        <v>2.5000000000000001E-2</v>
      </c>
    </row>
    <row r="35" spans="1:113" ht="17" thickBot="1" x14ac:dyDescent="0.25">
      <c r="A35" t="s">
        <v>20</v>
      </c>
      <c r="B35" s="1">
        <v>45505</v>
      </c>
      <c r="C35">
        <v>309.75</v>
      </c>
      <c r="D35">
        <v>312.25</v>
      </c>
      <c r="E35">
        <v>0.80064051240992196</v>
      </c>
      <c r="M35" t="s">
        <v>20</v>
      </c>
      <c r="N35" s="1">
        <v>45517</v>
      </c>
      <c r="O35">
        <v>240.25</v>
      </c>
      <c r="P35">
        <v>343</v>
      </c>
      <c r="Q35">
        <v>29.956268221574302</v>
      </c>
      <c r="S35" t="s">
        <v>20</v>
      </c>
      <c r="T35" s="1">
        <v>45522</v>
      </c>
      <c r="U35">
        <v>386.25</v>
      </c>
      <c r="V35">
        <v>405</v>
      </c>
      <c r="W35">
        <v>4.62962962962962</v>
      </c>
      <c r="Y35" t="s">
        <v>20</v>
      </c>
      <c r="Z35" s="1">
        <v>45530</v>
      </c>
      <c r="AA35">
        <v>399</v>
      </c>
      <c r="AB35">
        <v>391.75</v>
      </c>
      <c r="AC35">
        <v>-1.8170426065162899</v>
      </c>
      <c r="AD35" t="s">
        <v>20</v>
      </c>
      <c r="AE35" s="1">
        <v>45537</v>
      </c>
      <c r="AF35">
        <v>391.25</v>
      </c>
      <c r="AG35">
        <v>383.5</v>
      </c>
      <c r="AH35">
        <v>-1.98083067092651</v>
      </c>
      <c r="AI35" t="s">
        <v>20</v>
      </c>
      <c r="AJ35" s="1">
        <v>45544</v>
      </c>
      <c r="AK35">
        <v>421.5</v>
      </c>
      <c r="AL35">
        <v>424</v>
      </c>
      <c r="AM35">
        <v>0.589622641509435</v>
      </c>
      <c r="AN35" s="18" t="s">
        <v>20</v>
      </c>
      <c r="AO35" s="19">
        <v>45551</v>
      </c>
      <c r="AP35" s="20">
        <v>437</v>
      </c>
      <c r="AQ35" s="20">
        <v>436.5</v>
      </c>
      <c r="AR35" s="20">
        <v>-0.11441647597254501</v>
      </c>
      <c r="AS35" s="18" t="s">
        <v>20</v>
      </c>
      <c r="AT35" s="24">
        <v>45558</v>
      </c>
      <c r="AU35" s="25">
        <v>446.25</v>
      </c>
      <c r="AV35" s="25">
        <v>406.75</v>
      </c>
      <c r="AW35" s="25">
        <v>-8.8515406162464991</v>
      </c>
      <c r="AX35" s="18" t="s">
        <v>20</v>
      </c>
      <c r="AY35" s="24">
        <v>45565</v>
      </c>
      <c r="AZ35" s="25">
        <v>415.75</v>
      </c>
      <c r="BA35" s="25">
        <v>387.25</v>
      </c>
      <c r="BB35" s="26">
        <v>-6.8550811785928998</v>
      </c>
      <c r="BC35" t="s">
        <v>20</v>
      </c>
      <c r="BD35" s="22">
        <v>45572</v>
      </c>
      <c r="BE35" s="21">
        <v>446</v>
      </c>
      <c r="BF35" s="21">
        <v>415</v>
      </c>
      <c r="BG35" s="21">
        <v>-6.9506726457398997</v>
      </c>
      <c r="BH35" s="36" t="s">
        <v>20</v>
      </c>
      <c r="BI35" s="24">
        <v>45579</v>
      </c>
      <c r="BJ35" s="25">
        <v>442.75</v>
      </c>
      <c r="BK35" s="25">
        <v>429.75</v>
      </c>
      <c r="BL35" s="25">
        <v>-2.93619424054206</v>
      </c>
      <c r="BM35" s="17"/>
      <c r="BQ35" s="40"/>
      <c r="BR35" s="17"/>
      <c r="BV35" s="40"/>
      <c r="BW35" s="17"/>
      <c r="CA35" s="40"/>
      <c r="CB35" s="17"/>
      <c r="CF35" s="40"/>
      <c r="CG35" s="17"/>
      <c r="CK35" s="40"/>
      <c r="CL35" s="17"/>
      <c r="CP35" s="40"/>
      <c r="CQ35" s="17"/>
      <c r="CU35" s="40"/>
      <c r="CV35" s="17"/>
      <c r="CW35" s="46"/>
      <c r="CX35" s="46"/>
      <c r="CY35" s="46"/>
      <c r="CZ35" s="40"/>
      <c r="DA35" s="9" t="s">
        <v>20</v>
      </c>
      <c r="DB35" s="11">
        <f t="shared" si="0"/>
        <v>391.42500000000001</v>
      </c>
      <c r="DC35" s="11">
        <f t="shared" si="1"/>
        <v>391.07499999999999</v>
      </c>
      <c r="DD35" s="12" t="e">
        <f t="shared" si="2"/>
        <v>#DIV/0!</v>
      </c>
      <c r="DE35" s="12" t="e">
        <f t="shared" si="3"/>
        <v>#DIV/0!</v>
      </c>
      <c r="DF35" s="12" t="e">
        <f t="shared" si="4"/>
        <v>#DIV/0!</v>
      </c>
      <c r="DG35" s="12" t="e">
        <f t="shared" si="5"/>
        <v>#DIV/0!</v>
      </c>
      <c r="DH35" s="12">
        <f t="shared" si="13"/>
        <v>0.25496091401082382</v>
      </c>
      <c r="DI35" s="12">
        <f t="shared" si="14"/>
        <v>0.19367333763718528</v>
      </c>
    </row>
    <row r="36" spans="1:113" ht="17" thickBot="1" x14ac:dyDescent="0.25">
      <c r="AT36" s="22"/>
      <c r="BM36" s="17"/>
      <c r="BQ36" s="40"/>
      <c r="BR36" s="17"/>
      <c r="BV36" s="40"/>
      <c r="BW36" s="17"/>
      <c r="CA36" s="40"/>
      <c r="CB36" s="17"/>
      <c r="CF36" s="40"/>
      <c r="CG36" s="17"/>
      <c r="CK36" s="40"/>
      <c r="CL36" s="17"/>
      <c r="CP36" s="40"/>
      <c r="CQ36" s="17"/>
      <c r="CU36" s="40"/>
      <c r="CV36" s="17"/>
      <c r="CW36" s="46"/>
      <c r="CX36" s="46"/>
      <c r="CY36" s="46"/>
      <c r="CZ36" s="40"/>
      <c r="DB36" s="3"/>
      <c r="DC36" s="3"/>
      <c r="DD36" s="5"/>
      <c r="DE36" s="4"/>
    </row>
    <row r="37" spans="1:113" ht="17" thickBot="1" x14ac:dyDescent="0.25">
      <c r="C37" s="10">
        <f>AVERAGE(C2:C35)</f>
        <v>388.23214285714283</v>
      </c>
      <c r="D37" s="10">
        <f>AVERAGE(D2:D35)</f>
        <v>378.41071428571428</v>
      </c>
      <c r="I37" s="10">
        <f>AVERAGE(I2:I34)</f>
        <v>375.01785714285717</v>
      </c>
      <c r="J37" s="10">
        <f>AVERAGE(J2:J34)</f>
        <v>375.95535714285717</v>
      </c>
      <c r="O37" s="10">
        <f>AVERAGE(O2:O35)</f>
        <v>402.05172413793105</v>
      </c>
      <c r="P37" s="10">
        <f>AVERAGE(P2:P35)</f>
        <v>398.30172413793105</v>
      </c>
      <c r="U37" s="10">
        <f>AVERAGE(U2:U35)</f>
        <v>405.99137931034483</v>
      </c>
      <c r="V37" s="10">
        <f>AVERAGE(V2:V35)</f>
        <v>388.63793103448273</v>
      </c>
      <c r="AA37" s="10">
        <f>AVERAGE(AA2:AA35)</f>
        <v>438.94565217391306</v>
      </c>
      <c r="AB37" s="10">
        <f>AVERAGE(AB2:AB35)</f>
        <v>385.39130434782606</v>
      </c>
      <c r="AF37" s="10">
        <f>AVERAGE(AF2:AF35)</f>
        <v>396.57407407407408</v>
      </c>
      <c r="AG37" s="10">
        <f>AVERAGE(AG2:AG35)</f>
        <v>363.58333333333331</v>
      </c>
      <c r="AK37" s="10">
        <f>AVERAGE(AK2:AK35)</f>
        <v>388.25</v>
      </c>
      <c r="AL37" s="10">
        <f>AVERAGE(AL2:AL35)</f>
        <v>371.72222222222223</v>
      </c>
      <c r="AP37" s="10">
        <f>AVERAGE(AP2:AP35)</f>
        <v>407.77884615384613</v>
      </c>
      <c r="AQ37" s="10">
        <f>AVERAGE(AQ2:AQ35)</f>
        <v>382.18269230769232</v>
      </c>
      <c r="AU37" s="10">
        <f>AVERAGE(AU2:AU35)</f>
        <v>425.90178571428572</v>
      </c>
      <c r="AV37" s="10">
        <f>AVERAGE(AV2:AV35)</f>
        <v>387.76785714285717</v>
      </c>
      <c r="AZ37" s="10">
        <f>AVERAGE(AZ2:AZ35)</f>
        <v>417.26724137931035</v>
      </c>
      <c r="BA37" s="10">
        <f>AVERAGE(BA2:BA35)</f>
        <v>380.23275862068965</v>
      </c>
      <c r="BE37" s="10">
        <f>AVERAGE(BE2:BE35)</f>
        <v>424.72500000000002</v>
      </c>
      <c r="BF37" s="10">
        <f>AVERAGE(BF2:BF35)</f>
        <v>376.95</v>
      </c>
      <c r="BJ37" s="10">
        <f>AVERAGE(BJ2:BJ35)</f>
        <v>432.57258064516128</v>
      </c>
      <c r="BK37" s="10">
        <f>AVERAGE(BK2:BK35)</f>
        <v>389.54032258064518</v>
      </c>
      <c r="BM37" s="18"/>
      <c r="BN37" s="20"/>
      <c r="BO37" s="41">
        <f>AVERAGE(BO2:BO35)</f>
        <v>416.34259259259261</v>
      </c>
      <c r="BP37" s="41">
        <f>AVERAGE(BP2:BP35)</f>
        <v>380.35185185185185</v>
      </c>
      <c r="BQ37" s="42"/>
      <c r="BR37" s="18"/>
      <c r="BS37" s="20"/>
      <c r="BT37" s="41">
        <f>AVERAGE(BT2:BT35)</f>
        <v>441.44642857142856</v>
      </c>
      <c r="BU37" s="41">
        <f>AVERAGE(BU2:BU35)</f>
        <v>394.51785714285717</v>
      </c>
      <c r="BV37" s="42"/>
      <c r="BW37" s="18"/>
      <c r="BX37" s="20"/>
      <c r="BY37" s="41">
        <f>AVERAGE(BY2:BY35)</f>
        <v>426.20689655172413</v>
      </c>
      <c r="BZ37" s="41">
        <f>AVERAGE(BZ2:BZ35)</f>
        <v>381.2844827586207</v>
      </c>
      <c r="CA37" s="42"/>
      <c r="CB37" s="18"/>
      <c r="CC37" s="20"/>
      <c r="CD37" s="41">
        <f>AVERAGE(CD2:CD35)</f>
        <v>422.05</v>
      </c>
      <c r="CE37" s="41">
        <f>AVERAGE(CE2:CE35)</f>
        <v>374.52499999999998</v>
      </c>
      <c r="CF37" s="42"/>
      <c r="CG37" s="18"/>
      <c r="CH37" s="20"/>
      <c r="CI37" s="41">
        <f>AVERAGE(CI2:CI35)</f>
        <v>416.89166666666665</v>
      </c>
      <c r="CJ37" s="41">
        <f>AVERAGE(CJ2:CJ35)</f>
        <v>388.22500000000002</v>
      </c>
      <c r="CK37" s="42"/>
      <c r="CL37" s="18"/>
      <c r="CM37" s="20"/>
      <c r="CN37" s="41">
        <f>AVERAGE(CN2:CN35)</f>
        <v>404.32142857142856</v>
      </c>
      <c r="CO37" s="41">
        <f>AVERAGE(CO2:CO35)</f>
        <v>383.65178571428572</v>
      </c>
      <c r="CP37" s="42"/>
      <c r="CQ37" s="18"/>
      <c r="CR37" s="20"/>
      <c r="CS37" s="41">
        <f>AVERAGE(CS2:CS35)</f>
        <v>428.16666666666669</v>
      </c>
      <c r="CT37" s="41">
        <f>AVERAGE(CT2:CT35)</f>
        <v>384.84166666666664</v>
      </c>
      <c r="CU37" s="42"/>
      <c r="CV37" s="18"/>
      <c r="CW37" s="20"/>
      <c r="CX37" s="41">
        <f>AVERAGE(CX2:CX35)</f>
        <v>427.71875</v>
      </c>
      <c r="CY37" s="41">
        <f>AVERAGE(CY2:CY35)</f>
        <v>392.02083333333331</v>
      </c>
      <c r="CZ37" s="42"/>
      <c r="DB37" s="48">
        <f>AVERAGE(C37,I37,O37,U37,AA37,AF37,AP37,AU37,AZ37,BE37,BJ37,BO37,BT37,BY37,CD37,CI37,CN37,CS37,CX37)</f>
        <v>415.69487964259855</v>
      </c>
      <c r="DC37" s="48">
        <f>AVERAGE(D37,J37,P37,V37,AB37,AG37,AQ37,AV37,BA37,BF37,BK37,BP37,BU37,BZ37,CE37,CJ37,CO37,CT37,CY37)</f>
        <v>383.49328802113911</v>
      </c>
      <c r="DD37" s="14">
        <f>(CX37-DB37)/CX37</f>
        <v>2.8111627926999807E-2</v>
      </c>
      <c r="DE37" s="14">
        <f>(CY37-DC37)/CY37</f>
        <v>2.1752786043754156E-2</v>
      </c>
      <c r="DF37" s="14">
        <f>(CX37-CS37)/CX37</f>
        <v>-1.0472224251723489E-3</v>
      </c>
      <c r="DG37" s="14">
        <f>(CY37-CT37)/CY37</f>
        <v>1.8313227400754657E-2</v>
      </c>
      <c r="DH37" s="14">
        <f>(AZ37-C37)/AZ37</f>
        <v>6.9583939602326964E-2</v>
      </c>
      <c r="DI37" s="43">
        <f>(BA37-D37)/BA37</f>
        <v>4.7919183543914425E-3</v>
      </c>
    </row>
    <row r="38" spans="1:113" x14ac:dyDescent="0.2">
      <c r="DD38" s="44">
        <f>AVERAGE(DD37:DE37)</f>
        <v>2.493220698537698E-2</v>
      </c>
      <c r="DE38" s="45"/>
      <c r="DF38" s="44">
        <f>AVERAGE(DF37:DG37)</f>
        <v>8.6330024877911537E-3</v>
      </c>
      <c r="DG38" s="45"/>
      <c r="DH38" s="44">
        <f>AVERAGE(DH37:DI37)</f>
        <v>3.7187928978359201E-2</v>
      </c>
      <c r="DI38" s="45"/>
    </row>
    <row r="88" spans="2:2" x14ac:dyDescent="0.2">
      <c r="B88" s="1"/>
    </row>
    <row r="89" spans="2:2" x14ac:dyDescent="0.2">
      <c r="B89" s="1"/>
    </row>
    <row r="90" spans="2:2" x14ac:dyDescent="0.2">
      <c r="B90" s="1"/>
    </row>
    <row r="91" spans="2:2" x14ac:dyDescent="0.2">
      <c r="B91" s="1"/>
    </row>
    <row r="92" spans="2:2" x14ac:dyDescent="0.2">
      <c r="B92" s="1"/>
    </row>
    <row r="93" spans="2:2" x14ac:dyDescent="0.2">
      <c r="B93" s="1"/>
    </row>
    <row r="94" spans="2:2" x14ac:dyDescent="0.2">
      <c r="B94" s="1"/>
    </row>
    <row r="95" spans="2:2" x14ac:dyDescent="0.2">
      <c r="B95" s="1"/>
    </row>
    <row r="96" spans="2:2" x14ac:dyDescent="0.2">
      <c r="B96" s="1"/>
    </row>
    <row r="97" spans="2:2" x14ac:dyDescent="0.2">
      <c r="B97" s="1"/>
    </row>
    <row r="98" spans="2:2" x14ac:dyDescent="0.2">
      <c r="B98" s="1"/>
    </row>
    <row r="99" spans="2:2" x14ac:dyDescent="0.2">
      <c r="B99" s="1"/>
    </row>
    <row r="100" spans="2:2" x14ac:dyDescent="0.2">
      <c r="B100" s="1"/>
    </row>
    <row r="101" spans="2:2" x14ac:dyDescent="0.2">
      <c r="B101" s="1"/>
    </row>
    <row r="102" spans="2:2" x14ac:dyDescent="0.2">
      <c r="B102" s="1"/>
    </row>
    <row r="103" spans="2:2" x14ac:dyDescent="0.2">
      <c r="B103" s="1"/>
    </row>
    <row r="104" spans="2:2" x14ac:dyDescent="0.2">
      <c r="B104" s="1"/>
    </row>
    <row r="105" spans="2:2" x14ac:dyDescent="0.2">
      <c r="B105" s="1"/>
    </row>
    <row r="106" spans="2:2" x14ac:dyDescent="0.2">
      <c r="B106" s="1"/>
    </row>
    <row r="107" spans="2:2" x14ac:dyDescent="0.2">
      <c r="B107" s="1"/>
    </row>
    <row r="108" spans="2:2" x14ac:dyDescent="0.2">
      <c r="B108" s="1"/>
    </row>
    <row r="109" spans="2:2" x14ac:dyDescent="0.2">
      <c r="B109" s="1"/>
    </row>
    <row r="110" spans="2:2" x14ac:dyDescent="0.2">
      <c r="B110" s="1"/>
    </row>
    <row r="111" spans="2:2" x14ac:dyDescent="0.2">
      <c r="B111" s="1"/>
    </row>
    <row r="112" spans="2:2" x14ac:dyDescent="0.2">
      <c r="B112" s="1"/>
    </row>
    <row r="113" spans="2:2" x14ac:dyDescent="0.2">
      <c r="B113" s="1"/>
    </row>
    <row r="114" spans="2:2" x14ac:dyDescent="0.2">
      <c r="B114" s="1"/>
    </row>
    <row r="115" spans="2:2" x14ac:dyDescent="0.2">
      <c r="B115" s="1"/>
    </row>
    <row r="116" spans="2:2" x14ac:dyDescent="0.2">
      <c r="B116" s="1"/>
    </row>
  </sheetData>
  <sortState xmlns:xlrd2="http://schemas.microsoft.com/office/spreadsheetml/2017/richdata2" ref="Y3:AC25">
    <sortCondition ref="Y3:Y25"/>
  </sortState>
  <mergeCells count="3">
    <mergeCell ref="DD38:DE38"/>
    <mergeCell ref="DF38:DG38"/>
    <mergeCell ref="DH38:DI38"/>
  </mergeCells>
  <conditionalFormatting sqref="DD36:DE36">
    <cfRule type="colorScale" priority="59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F2:DG2">
    <cfRule type="colorScale" priority="42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H2:DI35 DD2:DE35">
    <cfRule type="colorScale" priority="90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H37:DI37">
    <cfRule type="colorScale" priority="33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F3:DG35">
    <cfRule type="colorScale" priority="3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F37:DG37">
    <cfRule type="colorScale" priority="1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conditionalFormatting sqref="DD37:DE37">
    <cfRule type="colorScale" priority="2">
      <colorScale>
        <cfvo type="num" val="-0.2"/>
        <cfvo type="num" val="0"/>
        <cfvo type="num" val="0.2"/>
        <color rgb="FFFF0000"/>
        <color theme="0"/>
        <color rgb="FF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Nordbord Inseason Wk1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J Bourque</cp:lastModifiedBy>
  <dcterms:created xsi:type="dcterms:W3CDTF">2024-08-26T18:33:13Z</dcterms:created>
  <dcterms:modified xsi:type="dcterms:W3CDTF">2024-12-09T21:39:08Z</dcterms:modified>
</cp:coreProperties>
</file>