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bourqu/Desktop/"/>
    </mc:Choice>
  </mc:AlternateContent>
  <xr:revisionPtr revIDLastSave="0" documentId="13_ncr:1_{EA1BDE49-47CC-BB44-A13A-2541F216D680}" xr6:coauthVersionLast="47" xr6:coauthVersionMax="47" xr10:uidLastSave="{00000000-0000-0000-0000-000000000000}"/>
  <bookViews>
    <workbookView xWindow="740" yWindow="500" windowWidth="28040" windowHeight="16280" activeTab="1" xr2:uid="{FC25E3CD-186D-9946-B97E-EFC8A8580516}"/>
  </bookViews>
  <sheets>
    <sheet name="forcedecks-test-export-08_10_20" sheetId="1" r:id="rId1"/>
    <sheet name="Sheet1" sheetId="2" r:id="rId2"/>
  </sheets>
  <definedNames>
    <definedName name="_xlnm.Print_Area" localSheetId="1">Sheet1!$AM$1:$BJ$44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44" i="2" l="1"/>
  <c r="BH44" i="2"/>
  <c r="BI44" i="2" s="1"/>
  <c r="BJ42" i="2"/>
  <c r="BH42" i="2"/>
  <c r="BI42" i="2" s="1"/>
  <c r="BJ41" i="2"/>
  <c r="BH41" i="2"/>
  <c r="BI41" i="2" s="1"/>
  <c r="BJ40" i="2"/>
  <c r="BH40" i="2"/>
  <c r="BI40" i="2" s="1"/>
  <c r="BJ39" i="2"/>
  <c r="BH39" i="2"/>
  <c r="BI39" i="2" s="1"/>
  <c r="BJ38" i="2"/>
  <c r="BH38" i="2"/>
  <c r="BI38" i="2" s="1"/>
  <c r="BJ37" i="2"/>
  <c r="BI37" i="2"/>
  <c r="BH37" i="2"/>
  <c r="BJ36" i="2"/>
  <c r="BH36" i="2"/>
  <c r="BI36" i="2" s="1"/>
  <c r="BJ35" i="2"/>
  <c r="BI35" i="2"/>
  <c r="BH35" i="2"/>
  <c r="BJ34" i="2"/>
  <c r="BH34" i="2"/>
  <c r="BI34" i="2" s="1"/>
  <c r="BJ33" i="2"/>
  <c r="BH33" i="2"/>
  <c r="BI33" i="2" s="1"/>
  <c r="BJ32" i="2"/>
  <c r="BI32" i="2"/>
  <c r="BH32" i="2"/>
  <c r="BJ31" i="2"/>
  <c r="BH31" i="2"/>
  <c r="BI31" i="2" s="1"/>
  <c r="BJ30" i="2"/>
  <c r="BH30" i="2"/>
  <c r="BI30" i="2" s="1"/>
  <c r="BJ29" i="2"/>
  <c r="BI29" i="2"/>
  <c r="BH29" i="2"/>
  <c r="BJ28" i="2"/>
  <c r="BH28" i="2"/>
  <c r="BI28" i="2" s="1"/>
  <c r="BJ27" i="2"/>
  <c r="BI27" i="2"/>
  <c r="BH27" i="2"/>
  <c r="BJ26" i="2"/>
  <c r="BH26" i="2"/>
  <c r="BI26" i="2" s="1"/>
  <c r="BJ25" i="2"/>
  <c r="BH25" i="2"/>
  <c r="BI25" i="2" s="1"/>
  <c r="BJ24" i="2"/>
  <c r="BI24" i="2"/>
  <c r="BH24" i="2"/>
  <c r="BJ23" i="2"/>
  <c r="BH23" i="2"/>
  <c r="BI23" i="2" s="1"/>
  <c r="BJ22" i="2"/>
  <c r="BH22" i="2"/>
  <c r="BI22" i="2" s="1"/>
  <c r="BJ21" i="2"/>
  <c r="BH21" i="2"/>
  <c r="BI21" i="2" s="1"/>
  <c r="BJ20" i="2"/>
  <c r="BH20" i="2"/>
  <c r="BI20" i="2" s="1"/>
  <c r="BJ19" i="2"/>
  <c r="BI19" i="2"/>
  <c r="BH19" i="2"/>
  <c r="BJ18" i="2"/>
  <c r="BH18" i="2"/>
  <c r="BI18" i="2" s="1"/>
  <c r="BJ17" i="2"/>
  <c r="BH17" i="2"/>
  <c r="BI17" i="2" s="1"/>
  <c r="BJ16" i="2"/>
  <c r="BI16" i="2"/>
  <c r="BH16" i="2"/>
  <c r="BJ15" i="2"/>
  <c r="BH15" i="2"/>
  <c r="BI15" i="2" s="1"/>
  <c r="BJ14" i="2"/>
  <c r="BH14" i="2"/>
  <c r="BI14" i="2" s="1"/>
  <c r="BJ13" i="2"/>
  <c r="BH13" i="2"/>
  <c r="BI13" i="2" s="1"/>
  <c r="BJ12" i="2"/>
  <c r="BH12" i="2"/>
  <c r="BI12" i="2" s="1"/>
  <c r="BJ11" i="2"/>
  <c r="BI11" i="2"/>
  <c r="BH11" i="2"/>
  <c r="BJ10" i="2"/>
  <c r="BH10" i="2"/>
  <c r="BI10" i="2" s="1"/>
  <c r="BJ9" i="2"/>
  <c r="BH9" i="2"/>
  <c r="BI9" i="2" s="1"/>
  <c r="BJ8" i="2"/>
  <c r="BI8" i="2"/>
  <c r="BH8" i="2"/>
  <c r="BJ7" i="2"/>
  <c r="BH7" i="2"/>
  <c r="BI7" i="2" s="1"/>
  <c r="BJ6" i="2"/>
  <c r="BH6" i="2"/>
  <c r="BI6" i="2" s="1"/>
  <c r="BJ5" i="2"/>
  <c r="BH5" i="2"/>
  <c r="BI5" i="2" s="1"/>
  <c r="BJ4" i="2"/>
  <c r="BH4" i="2"/>
  <c r="BI4" i="2" s="1"/>
  <c r="BJ3" i="2"/>
  <c r="BI3" i="2"/>
  <c r="BH3" i="2"/>
  <c r="BJ2" i="2"/>
  <c r="BI2" i="2"/>
  <c r="BH2" i="2"/>
  <c r="BG44" i="2"/>
  <c r="BD44" i="2"/>
  <c r="BA44" i="2"/>
  <c r="AX44" i="2" l="1"/>
  <c r="AU44" i="2"/>
  <c r="AR44" i="2"/>
  <c r="AO44" i="2"/>
  <c r="AL44" i="2"/>
  <c r="AI44" i="2"/>
  <c r="AF44" i="2"/>
  <c r="AC44" i="2" l="1"/>
  <c r="Z44" i="2"/>
  <c r="K44" i="2" l="1"/>
  <c r="C44" i="2"/>
  <c r="S44" i="2"/>
  <c r="D74" i="1"/>
  <c r="D73" i="1"/>
  <c r="C74" i="1"/>
  <c r="C73" i="1"/>
  <c r="I70" i="1"/>
  <c r="H70" i="1"/>
  <c r="I68" i="1"/>
  <c r="H68" i="1"/>
  <c r="I66" i="1"/>
  <c r="H66" i="1"/>
  <c r="I64" i="1"/>
  <c r="H64" i="1"/>
  <c r="I62" i="1"/>
  <c r="H62" i="1"/>
  <c r="I60" i="1"/>
  <c r="H60" i="1"/>
  <c r="I58" i="1"/>
  <c r="H58" i="1"/>
  <c r="I56" i="1"/>
  <c r="H56" i="1"/>
  <c r="I54" i="1"/>
  <c r="H54" i="1"/>
  <c r="I52" i="1"/>
  <c r="H52" i="1"/>
  <c r="I50" i="1"/>
  <c r="H50" i="1"/>
  <c r="I48" i="1"/>
  <c r="H48" i="1"/>
  <c r="I46" i="1"/>
  <c r="H46" i="1"/>
  <c r="I44" i="1"/>
  <c r="H44" i="1"/>
  <c r="I42" i="1"/>
  <c r="H42" i="1"/>
  <c r="I40" i="1"/>
  <c r="H40" i="1"/>
  <c r="I38" i="1"/>
  <c r="H38" i="1"/>
  <c r="I36" i="1"/>
  <c r="H36" i="1"/>
  <c r="I34" i="1"/>
  <c r="H34" i="1"/>
  <c r="I32" i="1"/>
  <c r="H32" i="1"/>
  <c r="I30" i="1"/>
  <c r="H30" i="1"/>
  <c r="I28" i="1"/>
  <c r="H28" i="1"/>
  <c r="I26" i="1"/>
  <c r="H26" i="1"/>
  <c r="I24" i="1"/>
  <c r="H24" i="1"/>
  <c r="I22" i="1"/>
  <c r="H22" i="1"/>
  <c r="I20" i="1"/>
  <c r="H20" i="1"/>
  <c r="I18" i="1"/>
  <c r="H18" i="1"/>
  <c r="I16" i="1"/>
  <c r="H16" i="1"/>
  <c r="I14" i="1"/>
  <c r="H14" i="1"/>
  <c r="I12" i="1"/>
  <c r="H12" i="1"/>
  <c r="I10" i="1"/>
  <c r="H10" i="1"/>
  <c r="I8" i="1"/>
  <c r="H8" i="1"/>
  <c r="I6" i="1"/>
  <c r="H6" i="1"/>
  <c r="I4" i="1"/>
  <c r="H4" i="1"/>
  <c r="I2" i="1"/>
  <c r="H2" i="1"/>
</calcChain>
</file>

<file path=xl/sharedStrings.xml><?xml version="1.0" encoding="utf-8"?>
<sst xmlns="http://schemas.openxmlformats.org/spreadsheetml/2006/main" count="1229" uniqueCount="436">
  <si>
    <t>Name</t>
  </si>
  <si>
    <t>Date</t>
  </si>
  <si>
    <t xml:space="preserve">RSI-modified [m/s] </t>
  </si>
  <si>
    <t xml:space="preserve">Jump Height (Imp-Mom) [cm] </t>
  </si>
  <si>
    <t>Concentric Impulse % (Asym) (%)</t>
  </si>
  <si>
    <t>Eccentric Deceleration Impulse % (Asym) (%)</t>
  </si>
  <si>
    <t>Landing Impulse % (Asym) (%)</t>
  </si>
  <si>
    <t>Semaj Verner</t>
  </si>
  <si>
    <t>6.4 L</t>
  </si>
  <si>
    <t>29.6 L</t>
  </si>
  <si>
    <t>39.8 L</t>
  </si>
  <si>
    <t>15.4 R</t>
  </si>
  <si>
    <t>12.9 L</t>
  </si>
  <si>
    <t>Jacob Horne</t>
  </si>
  <si>
    <t>4.6 L</t>
  </si>
  <si>
    <t>18.7 L</t>
  </si>
  <si>
    <t>14 R</t>
  </si>
  <si>
    <t>Rex Connors</t>
  </si>
  <si>
    <t>6.6 R</t>
  </si>
  <si>
    <t>17.6 R</t>
  </si>
  <si>
    <t>49.2 R</t>
  </si>
  <si>
    <t>Markeece Alexander</t>
  </si>
  <si>
    <t>10.7 R</t>
  </si>
  <si>
    <t>13 R</t>
  </si>
  <si>
    <t>16.9 R</t>
  </si>
  <si>
    <t>Jayden Stanley</t>
  </si>
  <si>
    <t>3.1 L</t>
  </si>
  <si>
    <t>11.9 R</t>
  </si>
  <si>
    <t>39.1 R</t>
  </si>
  <si>
    <t>Luka Sarac</t>
  </si>
  <si>
    <t>11.1 L</t>
  </si>
  <si>
    <t>16.3 L</t>
  </si>
  <si>
    <t>44.2 L</t>
  </si>
  <si>
    <t>Lamont Shamburger</t>
  </si>
  <si>
    <t>4.8 R</t>
  </si>
  <si>
    <t>36.6 R</t>
  </si>
  <si>
    <t>Grant Garretson</t>
  </si>
  <si>
    <t>3.9 R</t>
  </si>
  <si>
    <t>9.3 L</t>
  </si>
  <si>
    <t>22.7 L</t>
  </si>
  <si>
    <t>Porter Connors</t>
  </si>
  <si>
    <t>8.5 L</t>
  </si>
  <si>
    <t>5.5 L</t>
  </si>
  <si>
    <t>27.9 R</t>
  </si>
  <si>
    <t>Tyson McWilliams</t>
  </si>
  <si>
    <t>2.5 R</t>
  </si>
  <si>
    <t>22.4 L</t>
  </si>
  <si>
    <t>15.9 L</t>
  </si>
  <si>
    <t>Kavir Bains</t>
  </si>
  <si>
    <t>17.1 L</t>
  </si>
  <si>
    <t>19.2 L</t>
  </si>
  <si>
    <t>14.5 L</t>
  </si>
  <si>
    <t>David Meyer</t>
  </si>
  <si>
    <t>7.7 R</t>
  </si>
  <si>
    <t>20.3 R</t>
  </si>
  <si>
    <t>37.8 L</t>
  </si>
  <si>
    <t>Jackson Sievers</t>
  </si>
  <si>
    <t>9.5 R</t>
  </si>
  <si>
    <t>10.2 R</t>
  </si>
  <si>
    <t>15.7 R</t>
  </si>
  <si>
    <t>Sam Gogligoski</t>
  </si>
  <si>
    <t>8.6 R</t>
  </si>
  <si>
    <t>4.3 R</t>
  </si>
  <si>
    <t>43.9 R</t>
  </si>
  <si>
    <t>Blake Antzaloutas</t>
  </si>
  <si>
    <t>2.2 L</t>
  </si>
  <si>
    <t>1.6 L</t>
  </si>
  <si>
    <t>28.3 R</t>
  </si>
  <si>
    <t>Jackson Cloyd</t>
  </si>
  <si>
    <t>13.6 L</t>
  </si>
  <si>
    <t>18.9 L</t>
  </si>
  <si>
    <t>53.5 L</t>
  </si>
  <si>
    <t>Evan Bearden</t>
  </si>
  <si>
    <t>4.1 R</t>
  </si>
  <si>
    <t>14.8 R</t>
  </si>
  <si>
    <t>Princeton Toki</t>
  </si>
  <si>
    <t>10.4 L</t>
  </si>
  <si>
    <t>Lan Larison</t>
  </si>
  <si>
    <t>22.4 R</t>
  </si>
  <si>
    <t>16.5 R</t>
  </si>
  <si>
    <t>Zach Kennedy</t>
  </si>
  <si>
    <t>5.6 L</t>
  </si>
  <si>
    <t>16.6 L</t>
  </si>
  <si>
    <t>88.2 L</t>
  </si>
  <si>
    <t>Kai Acia</t>
  </si>
  <si>
    <t>21 R</t>
  </si>
  <si>
    <t>6.2 L</t>
  </si>
  <si>
    <t>Abe Del Real</t>
  </si>
  <si>
    <t>10.8 L</t>
  </si>
  <si>
    <t>27.4 L</t>
  </si>
  <si>
    <t>2.6 R</t>
  </si>
  <si>
    <t>7.1 R</t>
  </si>
  <si>
    <t>Matteo Perez</t>
  </si>
  <si>
    <t>2.4 R</t>
  </si>
  <si>
    <t>8.4 R</t>
  </si>
  <si>
    <t>Jordan Fisher</t>
  </si>
  <si>
    <t>13.8 L</t>
  </si>
  <si>
    <t>25 L</t>
  </si>
  <si>
    <t>Sam Gbatu</t>
  </si>
  <si>
    <t>10.8 R</t>
  </si>
  <si>
    <t>16.6 R</t>
  </si>
  <si>
    <t>28.7 R</t>
  </si>
  <si>
    <t>Josh Gale</t>
  </si>
  <si>
    <t>6.6 L</t>
  </si>
  <si>
    <t>21.7 R</t>
  </si>
  <si>
    <t>8.9 L</t>
  </si>
  <si>
    <t>Zach Jones</t>
  </si>
  <si>
    <t>23.7 R</t>
  </si>
  <si>
    <t>Winston Williams</t>
  </si>
  <si>
    <t>15 R</t>
  </si>
  <si>
    <t>5.8 R</t>
  </si>
  <si>
    <t>35.3 R</t>
  </si>
  <si>
    <t>Miles Hastings</t>
  </si>
  <si>
    <t>8.2 R</t>
  </si>
  <si>
    <t>15.8 R</t>
  </si>
  <si>
    <t>15.5 R</t>
  </si>
  <si>
    <t>Grant Harper</t>
  </si>
  <si>
    <t>8.3 R</t>
  </si>
  <si>
    <t>18.4 R</t>
  </si>
  <si>
    <t>30.3 R</t>
  </si>
  <si>
    <t>Mitch Dixon</t>
  </si>
  <si>
    <t>7.8 R</t>
  </si>
  <si>
    <t>6.5 R</t>
  </si>
  <si>
    <t>Zaire Collier</t>
  </si>
  <si>
    <t>8.6 L</t>
  </si>
  <si>
    <t>9.7 L</t>
  </si>
  <si>
    <t>2.9 L</t>
  </si>
  <si>
    <t>Ernesto Nava</t>
  </si>
  <si>
    <t>10.7 L</t>
  </si>
  <si>
    <t>6.3 L</t>
  </si>
  <si>
    <t>29.6 R</t>
  </si>
  <si>
    <t>Dave Main</t>
  </si>
  <si>
    <t>5.9 R</t>
  </si>
  <si>
    <t>17.5 R</t>
  </si>
  <si>
    <t>9.9 L</t>
  </si>
  <si>
    <t>Elijah Simsonson</t>
  </si>
  <si>
    <t>10.3 R</t>
  </si>
  <si>
    <t>6.8 R</t>
  </si>
  <si>
    <t>16.5 L</t>
  </si>
  <si>
    <t>9.7 R</t>
  </si>
  <si>
    <t>11.4 R</t>
  </si>
  <si>
    <t>8.1 R</t>
  </si>
  <si>
    <t>5.1 R</t>
  </si>
  <si>
    <t>14.9 R</t>
  </si>
  <si>
    <t>19.3 R</t>
  </si>
  <si>
    <t>1.7 R</t>
  </si>
  <si>
    <t>14.7 R</t>
  </si>
  <si>
    <t>8.9 R</t>
  </si>
  <si>
    <t>3.7 R</t>
  </si>
  <si>
    <t>5.7 R</t>
  </si>
  <si>
    <t>9.1 R</t>
  </si>
  <si>
    <t>33.2 R</t>
  </si>
  <si>
    <t>24.9 R</t>
  </si>
  <si>
    <t>2.7 R</t>
  </si>
  <si>
    <t>7.6 L</t>
  </si>
  <si>
    <t>27.4 R</t>
  </si>
  <si>
    <t>5.7 L</t>
  </si>
  <si>
    <t>17.3 L</t>
  </si>
  <si>
    <t>25.3 L</t>
  </si>
  <si>
    <t>2.8 L</t>
  </si>
  <si>
    <t>23.1 R</t>
  </si>
  <si>
    <t>12 R</t>
  </si>
  <si>
    <t>9.2 L</t>
  </si>
  <si>
    <t>13.2 L</t>
  </si>
  <si>
    <t>20.1 L</t>
  </si>
  <si>
    <t>26.8 L</t>
  </si>
  <si>
    <t>6.2 R</t>
  </si>
  <si>
    <t>7.2 L</t>
  </si>
  <si>
    <t>39.9 R</t>
  </si>
  <si>
    <t>5 R</t>
  </si>
  <si>
    <t>12.1 R</t>
  </si>
  <si>
    <t>12 L</t>
  </si>
  <si>
    <t>2.6 L</t>
  </si>
  <si>
    <t>21.1 L</t>
  </si>
  <si>
    <t>25.7 L</t>
  </si>
  <si>
    <t>4.1 L</t>
  </si>
  <si>
    <t>21.4 L</t>
  </si>
  <si>
    <t>22.6 L</t>
  </si>
  <si>
    <t>12.6 R</t>
  </si>
  <si>
    <t>92.5 R</t>
  </si>
  <si>
    <t>26.7 L</t>
  </si>
  <si>
    <t>9 L</t>
  </si>
  <si>
    <t>8.8 L</t>
  </si>
  <si>
    <t>46.2 R</t>
  </si>
  <si>
    <t>12.8 R</t>
  </si>
  <si>
    <t>43.7 R</t>
  </si>
  <si>
    <t>4.9 R</t>
  </si>
  <si>
    <t>28.2 L</t>
  </si>
  <si>
    <t>7.9 R</t>
  </si>
  <si>
    <t>24.8 R</t>
  </si>
  <si>
    <t>7.4 R</t>
  </si>
  <si>
    <t>12.8 L</t>
  </si>
  <si>
    <t>53.3 R</t>
  </si>
  <si>
    <t>5.4 R</t>
  </si>
  <si>
    <t>21.1 R</t>
  </si>
  <si>
    <t>2 R</t>
  </si>
  <si>
    <t>43.2 R</t>
  </si>
  <si>
    <t>14.3 L</t>
  </si>
  <si>
    <t>32.3 L</t>
  </si>
  <si>
    <t>88.1 L</t>
  </si>
  <si>
    <t>3.2 R</t>
  </si>
  <si>
    <t>19.1 L</t>
  </si>
  <si>
    <t>38.9 R</t>
  </si>
  <si>
    <t>13.1 R</t>
  </si>
  <si>
    <t>5.3 L</t>
  </si>
  <si>
    <t>10.6 L</t>
  </si>
  <si>
    <t>33.8 L</t>
  </si>
  <si>
    <t>9.8 R</t>
  </si>
  <si>
    <t>41.5 R</t>
  </si>
  <si>
    <t>41 L</t>
  </si>
  <si>
    <t>47.3 R</t>
  </si>
  <si>
    <t>11.3 L</t>
  </si>
  <si>
    <t>14.6 R</t>
  </si>
  <si>
    <t>17.9 L</t>
  </si>
  <si>
    <t>4.3 L</t>
  </si>
  <si>
    <t>25.5 L</t>
  </si>
  <si>
    <t>7.2 R</t>
  </si>
  <si>
    <t>11.5 L</t>
  </si>
  <si>
    <t>18.6 L</t>
  </si>
  <si>
    <t>5.5 R</t>
  </si>
  <si>
    <t>18.7 R</t>
  </si>
  <si>
    <t>20.2 R</t>
  </si>
  <si>
    <t>7.3 L</t>
  </si>
  <si>
    <t>21.2 L</t>
  </si>
  <si>
    <t>17.2 R</t>
  </si>
  <si>
    <t>1.4 L</t>
  </si>
  <si>
    <t>29.1 R</t>
  </si>
  <si>
    <t>Blake Cotton</t>
  </si>
  <si>
    <t>5.1 L</t>
  </si>
  <si>
    <t>45.6 R</t>
  </si>
  <si>
    <t>32.5 L</t>
  </si>
  <si>
    <t>28.8 L</t>
  </si>
  <si>
    <t>26.5 R</t>
  </si>
  <si>
    <t>3 L</t>
  </si>
  <si>
    <t>31 R</t>
  </si>
  <si>
    <t>2.1 L</t>
  </si>
  <si>
    <t>9.5 L</t>
  </si>
  <si>
    <t>31.3 L</t>
  </si>
  <si>
    <t>13.6 R</t>
  </si>
  <si>
    <t>11.6 L</t>
  </si>
  <si>
    <t>34 R</t>
  </si>
  <si>
    <t>22.5 L</t>
  </si>
  <si>
    <t>9.9 R</t>
  </si>
  <si>
    <t>15 L</t>
  </si>
  <si>
    <t>Stacy Dobbins</t>
  </si>
  <si>
    <t>8.2 L</t>
  </si>
  <si>
    <t>24.1 L</t>
  </si>
  <si>
    <t>35.6 L</t>
  </si>
  <si>
    <t>13 L</t>
  </si>
  <si>
    <t>9.6 L</t>
  </si>
  <si>
    <t>5.2 R</t>
  </si>
  <si>
    <t>8.7 R</t>
  </si>
  <si>
    <t>55.7 R</t>
  </si>
  <si>
    <t>Chaz Davis</t>
  </si>
  <si>
    <t>1.5 R</t>
  </si>
  <si>
    <t>22.2 R</t>
  </si>
  <si>
    <t>CJ Hutton</t>
  </si>
  <si>
    <t>30 L</t>
  </si>
  <si>
    <t>23.9 L</t>
  </si>
  <si>
    <t>Jace Rodriguez</t>
  </si>
  <si>
    <t>10.5 R</t>
  </si>
  <si>
    <t>19.7 R</t>
  </si>
  <si>
    <t>10 L</t>
  </si>
  <si>
    <t>7.6 R</t>
  </si>
  <si>
    <t>11.7 R</t>
  </si>
  <si>
    <t>55.2 R</t>
  </si>
  <si>
    <t>9.3 R</t>
  </si>
  <si>
    <t>33.7 L</t>
  </si>
  <si>
    <t>18.9 R</t>
  </si>
  <si>
    <t>0.6 R</t>
  </si>
  <si>
    <t>15.3 L</t>
  </si>
  <si>
    <t>4.7 R</t>
  </si>
  <si>
    <t>4.8 L</t>
  </si>
  <si>
    <t>Trent Tompkins</t>
  </si>
  <si>
    <t>2.1 R</t>
  </si>
  <si>
    <t>12.4 R</t>
  </si>
  <si>
    <t>26.9 R</t>
  </si>
  <si>
    <t>39.6 R</t>
  </si>
  <si>
    <t>Sam Goligoski</t>
  </si>
  <si>
    <t>4.4 R</t>
  </si>
  <si>
    <t>6.1 R</t>
  </si>
  <si>
    <t>45.1 R</t>
  </si>
  <si>
    <t>4 L</t>
  </si>
  <si>
    <t>28.6 L</t>
  </si>
  <si>
    <t>39.8 R</t>
  </si>
  <si>
    <t>7.7 L</t>
  </si>
  <si>
    <t>8.3 L</t>
  </si>
  <si>
    <t>14.5 R</t>
  </si>
  <si>
    <t>20.8 L</t>
  </si>
  <si>
    <t>20.6 R</t>
  </si>
  <si>
    <t>1.7 L</t>
  </si>
  <si>
    <t>5.8 L</t>
  </si>
  <si>
    <t>0.9 R</t>
  </si>
  <si>
    <t>63.8 R</t>
  </si>
  <si>
    <t>17.2 L</t>
  </si>
  <si>
    <t>19.9 L</t>
  </si>
  <si>
    <t>1 L</t>
  </si>
  <si>
    <t>11.9 L</t>
  </si>
  <si>
    <t>24.9 L</t>
  </si>
  <si>
    <t>83 R</t>
  </si>
  <si>
    <t>25.4 R</t>
  </si>
  <si>
    <t>15.9 R</t>
  </si>
  <si>
    <t>23.4 L</t>
  </si>
  <si>
    <t>2 L</t>
  </si>
  <si>
    <t>6 L</t>
  </si>
  <si>
    <t>11.6 R</t>
  </si>
  <si>
    <t>29.5 R</t>
  </si>
  <si>
    <t>15.2 R</t>
  </si>
  <si>
    <t>20.9 R</t>
  </si>
  <si>
    <t>12.5 R</t>
  </si>
  <si>
    <t>61.7 R</t>
  </si>
  <si>
    <t>23.8 R</t>
  </si>
  <si>
    <t>Christian Calhoun</t>
  </si>
  <si>
    <t>3.4 L</t>
  </si>
  <si>
    <t>8.8 R</t>
  </si>
  <si>
    <t>7.5 R</t>
  </si>
  <si>
    <t>30.9 R</t>
  </si>
  <si>
    <t>10.1 L</t>
  </si>
  <si>
    <t>37.3 R</t>
  </si>
  <si>
    <t>8.4 L</t>
  </si>
  <si>
    <t>16.3 R</t>
  </si>
  <si>
    <t>34.5 R</t>
  </si>
  <si>
    <t>10.6 R</t>
  </si>
  <si>
    <t>25.2 R</t>
  </si>
  <si>
    <t>52 L</t>
  </si>
  <si>
    <t>21.3 R</t>
  </si>
  <si>
    <t>12.3 R</t>
  </si>
  <si>
    <t>1.2 R</t>
  </si>
  <si>
    <t>9.1 L</t>
  </si>
  <si>
    <t>24.2 L</t>
  </si>
  <si>
    <t>37.9 L</t>
  </si>
  <si>
    <t>4 R</t>
  </si>
  <si>
    <t>9.4 L</t>
  </si>
  <si>
    <t>42.4 R</t>
  </si>
  <si>
    <t>1.8 R</t>
  </si>
  <si>
    <t>29.2 R</t>
  </si>
  <si>
    <t>11.8 L</t>
  </si>
  <si>
    <t>7 L</t>
  </si>
  <si>
    <t>25.8 R</t>
  </si>
  <si>
    <t>10.2 L</t>
  </si>
  <si>
    <t>14 L</t>
  </si>
  <si>
    <t>39.4 L</t>
  </si>
  <si>
    <t>11 L</t>
  </si>
  <si>
    <t>20.3 L</t>
  </si>
  <si>
    <t>17.8 R</t>
  </si>
  <si>
    <t>29.9 R</t>
  </si>
  <si>
    <t>19 L</t>
  </si>
  <si>
    <t>3.5 R</t>
  </si>
  <si>
    <t>3.8 R</t>
  </si>
  <si>
    <t>3.7 L</t>
  </si>
  <si>
    <t>24.8 L</t>
  </si>
  <si>
    <t>21.5 R</t>
  </si>
  <si>
    <t>39.4 R</t>
  </si>
  <si>
    <t>3.3 R</t>
  </si>
  <si>
    <t>26.2 R</t>
  </si>
  <si>
    <t>6.7 L</t>
  </si>
  <si>
    <t>26.3 L</t>
  </si>
  <si>
    <t>30.3 L</t>
  </si>
  <si>
    <t>3 R</t>
  </si>
  <si>
    <t>13.4 R</t>
  </si>
  <si>
    <t>18 R</t>
  </si>
  <si>
    <t>16.2 R</t>
  </si>
  <si>
    <t>38.6 R</t>
  </si>
  <si>
    <t>23 L</t>
  </si>
  <si>
    <t>5.6 R</t>
  </si>
  <si>
    <t>20.6 L</t>
  </si>
  <si>
    <t>27.2 R</t>
  </si>
  <si>
    <t>6.9 R</t>
  </si>
  <si>
    <t>9.8 L</t>
  </si>
  <si>
    <t>1.9 L</t>
  </si>
  <si>
    <t>59.6 R</t>
  </si>
  <si>
    <t>33.6 R</t>
  </si>
  <si>
    <t>vs Last Week</t>
  </si>
  <si>
    <t>7.5 L</t>
  </si>
  <si>
    <t>13.7 R</t>
  </si>
  <si>
    <t>18.5 R</t>
  </si>
  <si>
    <t>47.7 R</t>
  </si>
  <si>
    <t>3.6 R</t>
  </si>
  <si>
    <t>18.8 R</t>
  </si>
  <si>
    <t>2.9 R</t>
  </si>
  <si>
    <t>25.4 L</t>
  </si>
  <si>
    <t>20.7 R</t>
  </si>
  <si>
    <t>29 L</t>
  </si>
  <si>
    <t>29.4 R</t>
  </si>
  <si>
    <t>16.8 L</t>
  </si>
  <si>
    <t>2.8 R</t>
  </si>
  <si>
    <t>24.2 R</t>
  </si>
  <si>
    <t>17.7 R</t>
  </si>
  <si>
    <t>8.5 R</t>
  </si>
  <si>
    <t>13.3 R</t>
  </si>
  <si>
    <t>7.3 R</t>
  </si>
  <si>
    <t>28.8 R</t>
  </si>
  <si>
    <t>44.9 L</t>
  </si>
  <si>
    <t>13.9 L</t>
  </si>
  <si>
    <t>40.2 L</t>
  </si>
  <si>
    <t>10 R</t>
  </si>
  <si>
    <t>34.4 L</t>
  </si>
  <si>
    <t>43.4 L</t>
  </si>
  <si>
    <t>12.7 R</t>
  </si>
  <si>
    <t>58.2 R</t>
  </si>
  <si>
    <t>31.7 L</t>
  </si>
  <si>
    <t>15.7 L</t>
  </si>
  <si>
    <t>19.8 R</t>
  </si>
  <si>
    <t>10.9 R</t>
  </si>
  <si>
    <t>9.4 R</t>
  </si>
  <si>
    <t>11.1 R</t>
  </si>
  <si>
    <t>39.3 L</t>
  </si>
  <si>
    <t>44.1 R</t>
  </si>
  <si>
    <t>7 R</t>
  </si>
  <si>
    <t>7.4 L</t>
  </si>
  <si>
    <t>21.8 L</t>
  </si>
  <si>
    <t>14.4 R</t>
  </si>
  <si>
    <t>31.7 R</t>
  </si>
  <si>
    <t>6.7 R</t>
  </si>
  <si>
    <t>22.3 R</t>
  </si>
  <si>
    <t>26.6 L</t>
  </si>
  <si>
    <t>22.8 L</t>
  </si>
  <si>
    <t>Thomas Mirabella</t>
  </si>
  <si>
    <t>13.4 L</t>
  </si>
  <si>
    <t>27.7 R</t>
  </si>
  <si>
    <t>4.5 L</t>
  </si>
  <si>
    <t>14.1 R</t>
  </si>
  <si>
    <t>36.9 L</t>
  </si>
  <si>
    <t>13.5 R</t>
  </si>
  <si>
    <t>5 L</t>
  </si>
  <si>
    <t>20.1 R</t>
  </si>
  <si>
    <t>32.4 R</t>
  </si>
  <si>
    <t>21 L</t>
  </si>
  <si>
    <t>16.9 L</t>
  </si>
  <si>
    <t>16.1 R</t>
  </si>
  <si>
    <t>Ian Simpson</t>
  </si>
  <si>
    <t>Avg</t>
  </si>
  <si>
    <t>Today vs Avg</t>
  </si>
  <si>
    <t>3rd Best</t>
  </si>
  <si>
    <t>2nd Best</t>
  </si>
  <si>
    <t>Best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</si>
</sst>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18" fillId="0" borderId="15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5" fontId="18" fillId="0" borderId="16" xfId="0" applyNumberFormat="1" applyFont="1" applyBorder="1" applyAlignment="1">
      <alignment horizontal="center"/>
    </xf>
    <xf numFmtId="165" fontId="18" fillId="35" borderId="17" xfId="0" applyNumberFormat="1" applyFont="1" applyFill="1" applyBorder="1" applyAlignment="1">
      <alignment horizontal="center"/>
    </xf>
    <xf numFmtId="165" fontId="18" fillId="36" borderId="17" xfId="0" applyNumberFormat="1" applyFont="1" applyFill="1" applyBorder="1" applyAlignment="1">
      <alignment horizontal="center"/>
    </xf>
    <xf numFmtId="165" fontId="18" fillId="37" borderId="17" xfId="0" applyNumberFormat="1" applyFont="1" applyFill="1" applyBorder="1" applyAlignment="1">
      <alignment horizontal="center"/>
    </xf>
    <xf numFmtId="2" fontId="0" fillId="37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2" fontId="18" fillId="38" borderId="21" xfId="0" applyNumberFormat="1" applyFont="1" applyFill="1" applyBorder="1" applyAlignment="1">
      <alignment horizontal="center"/>
    </xf>
    <xf numFmtId="0" fontId="18" fillId="38" borderId="22" xfId="0" applyFont="1" applyFill="1" applyBorder="1"/>
    <xf numFmtId="0" fontId="18" fillId="38" borderId="23" xfId="0" applyFont="1" applyFill="1" applyBorder="1"/>
    <xf numFmtId="0" fontId="0" fillId="0" borderId="0" xfId="0" applyBorder="1"/>
    <xf numFmtId="2" fontId="0" fillId="0" borderId="19" xfId="0" applyNumberFormat="1" applyFill="1" applyBorder="1" applyAlignment="1">
      <alignment horizontal="center"/>
    </xf>
    <xf numFmtId="164" fontId="0" fillId="0" borderId="18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4" fontId="0" fillId="0" borderId="0" xfId="0" applyNumberFormat="1" applyBorder="1"/>
    <xf numFmtId="2" fontId="0" fillId="0" borderId="24" xfId="0" applyNumberFormat="1" applyFill="1" applyBorder="1" applyAlignment="1">
      <alignment horizontal="center"/>
    </xf>
    <xf numFmtId="164" fontId="0" fillId="0" borderId="25" xfId="0" applyNumberFormat="1" applyFill="1" applyBorder="1" applyAlignment="1">
      <alignment horizontal="center"/>
    </xf>
    <xf numFmtId="164" fontId="0" fillId="0" borderId="26" xfId="0" applyNumberForma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44E3-AB21-5F44-A019-7772F12F4968}">
  <dimension ref="A1:L74"/>
  <sheetViews>
    <sheetView workbookViewId="0">
      <selection activeCell="F68" sqref="F68"/>
    </sheetView>
  </sheetViews>
  <sheetFormatPr baseColWidth="10" defaultRowHeight="16" x14ac:dyDescent="0.2"/>
  <cols>
    <col min="1" max="1" width="18.1640625" bestFit="1" customWidth="1"/>
    <col min="2" max="2" width="10.83203125" style="1"/>
    <col min="3" max="3" width="16.33203125" style="1" bestFit="1" customWidth="1"/>
    <col min="4" max="4" width="24.83203125" style="1" bestFit="1" customWidth="1"/>
    <col min="5" max="5" width="28.33203125" style="1" bestFit="1" customWidth="1"/>
    <col min="6" max="6" width="38.33203125" style="1" bestFit="1" customWidth="1"/>
    <col min="7" max="7" width="25.1640625" style="1" bestFit="1" customWidth="1"/>
  </cols>
  <sheetData>
    <row r="1" spans="1:12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">
      <c r="A2" t="s">
        <v>87</v>
      </c>
      <c r="B2" s="2">
        <v>45514</v>
      </c>
      <c r="C2" s="1">
        <v>0.83</v>
      </c>
      <c r="D2" s="1">
        <v>49.9</v>
      </c>
      <c r="E2" s="1" t="s">
        <v>88</v>
      </c>
      <c r="F2" s="1" t="s">
        <v>89</v>
      </c>
      <c r="G2" s="1" t="s">
        <v>90</v>
      </c>
      <c r="H2" s="4">
        <f>(C2-C3)/C2</f>
        <v>-9.6385542168674787E-2</v>
      </c>
      <c r="I2" s="4">
        <f>(D2-D3)/D2</f>
        <v>-2.805611222444887E-2</v>
      </c>
      <c r="J2" s="3"/>
      <c r="K2" s="3"/>
      <c r="L2" s="3"/>
    </row>
    <row r="3" spans="1:12" x14ac:dyDescent="0.2">
      <c r="A3" t="s">
        <v>87</v>
      </c>
      <c r="B3" s="2">
        <v>45504</v>
      </c>
      <c r="C3" s="1">
        <v>0.91</v>
      </c>
      <c r="D3" s="1">
        <v>51.3</v>
      </c>
      <c r="E3" s="1" t="s">
        <v>205</v>
      </c>
      <c r="F3" s="1" t="s">
        <v>206</v>
      </c>
      <c r="G3" s="1" t="s">
        <v>137</v>
      </c>
    </row>
    <row r="4" spans="1:12" x14ac:dyDescent="0.2">
      <c r="A4" t="s">
        <v>64</v>
      </c>
      <c r="B4" s="2">
        <v>45514</v>
      </c>
      <c r="C4" s="1">
        <v>0.75</v>
      </c>
      <c r="D4" s="1">
        <v>48.4</v>
      </c>
      <c r="E4" s="1" t="s">
        <v>65</v>
      </c>
      <c r="F4" s="1" t="s">
        <v>66</v>
      </c>
      <c r="G4" s="1" t="s">
        <v>67</v>
      </c>
      <c r="H4" s="4">
        <f>(C4-C5)/C4</f>
        <v>5.3333333333333378E-2</v>
      </c>
      <c r="I4" s="4">
        <f>(D4-D5)/D4</f>
        <v>8.6776859504132151E-2</v>
      </c>
    </row>
    <row r="5" spans="1:12" x14ac:dyDescent="0.2">
      <c r="A5" t="s">
        <v>64</v>
      </c>
      <c r="B5" s="2">
        <v>45504</v>
      </c>
      <c r="C5" s="1">
        <v>0.71</v>
      </c>
      <c r="D5" s="1">
        <v>44.2</v>
      </c>
      <c r="E5" s="1" t="s">
        <v>27</v>
      </c>
      <c r="F5" s="1" t="s">
        <v>178</v>
      </c>
      <c r="G5" s="1" t="s">
        <v>179</v>
      </c>
    </row>
    <row r="6" spans="1:12" x14ac:dyDescent="0.2">
      <c r="A6" t="s">
        <v>131</v>
      </c>
      <c r="B6" s="2">
        <v>45514</v>
      </c>
      <c r="C6" s="1">
        <v>0.72</v>
      </c>
      <c r="D6" s="1">
        <v>41.4</v>
      </c>
      <c r="E6" s="1" t="s">
        <v>132</v>
      </c>
      <c r="F6" s="1" t="s">
        <v>133</v>
      </c>
      <c r="G6" s="1" t="s">
        <v>134</v>
      </c>
      <c r="H6" s="4">
        <f>(C6-C7)/C6</f>
        <v>-6.9444444444444503E-2</v>
      </c>
      <c r="I6" s="4">
        <f>(D6-D7)/D6</f>
        <v>-7.2463768115943062E-3</v>
      </c>
    </row>
    <row r="7" spans="1:12" x14ac:dyDescent="0.2">
      <c r="A7" t="s">
        <v>131</v>
      </c>
      <c r="B7" s="2">
        <v>45504</v>
      </c>
      <c r="C7" s="1">
        <v>0.77</v>
      </c>
      <c r="D7" s="1">
        <v>41.7</v>
      </c>
      <c r="E7" s="1" t="s">
        <v>219</v>
      </c>
      <c r="F7" s="1" t="s">
        <v>220</v>
      </c>
      <c r="G7" s="1" t="s">
        <v>221</v>
      </c>
    </row>
    <row r="8" spans="1:12" x14ac:dyDescent="0.2">
      <c r="A8" t="s">
        <v>52</v>
      </c>
      <c r="B8" s="2">
        <v>45514</v>
      </c>
      <c r="C8" s="1">
        <v>0.79</v>
      </c>
      <c r="D8" s="1">
        <v>54.4</v>
      </c>
      <c r="E8" s="1" t="s">
        <v>53</v>
      </c>
      <c r="F8" s="1" t="s">
        <v>54</v>
      </c>
      <c r="G8" s="1" t="s">
        <v>55</v>
      </c>
      <c r="H8" s="4">
        <f>(C8-C9)/C8</f>
        <v>-2.5316455696202552E-2</v>
      </c>
      <c r="I8" s="4">
        <f>(D8-D9)/D8</f>
        <v>-5.5147058823530196E-3</v>
      </c>
    </row>
    <row r="9" spans="1:12" x14ac:dyDescent="0.2">
      <c r="A9" t="s">
        <v>52</v>
      </c>
      <c r="B9" s="2">
        <v>45504</v>
      </c>
      <c r="C9" s="1">
        <v>0.81</v>
      </c>
      <c r="D9" s="1">
        <v>54.7</v>
      </c>
      <c r="E9" s="1" t="s">
        <v>186</v>
      </c>
      <c r="F9" s="1" t="s">
        <v>152</v>
      </c>
      <c r="G9" s="1" t="s">
        <v>187</v>
      </c>
    </row>
    <row r="10" spans="1:12" x14ac:dyDescent="0.2">
      <c r="A10" t="s">
        <v>135</v>
      </c>
      <c r="B10" s="2">
        <v>45514</v>
      </c>
      <c r="C10" s="1">
        <v>0.63</v>
      </c>
      <c r="D10" s="1">
        <v>37.299999999999997</v>
      </c>
      <c r="E10" s="1" t="s">
        <v>136</v>
      </c>
      <c r="F10" s="1" t="s">
        <v>137</v>
      </c>
      <c r="G10" s="1" t="s">
        <v>138</v>
      </c>
      <c r="H10" s="4">
        <f>(C10-C11)/C10</f>
        <v>9.5238095238095316E-2</v>
      </c>
      <c r="I10" s="4">
        <f>(D10-D11)/D10</f>
        <v>5.3619302949061663E-2</v>
      </c>
    </row>
    <row r="11" spans="1:12" x14ac:dyDescent="0.2">
      <c r="A11" t="s">
        <v>135</v>
      </c>
      <c r="B11" s="2">
        <v>45504</v>
      </c>
      <c r="C11" s="1">
        <v>0.56999999999999995</v>
      </c>
      <c r="D11" s="1">
        <v>35.299999999999997</v>
      </c>
      <c r="E11" s="1" t="s">
        <v>54</v>
      </c>
      <c r="F11" s="1" t="s">
        <v>115</v>
      </c>
      <c r="G11" s="1" t="s">
        <v>224</v>
      </c>
    </row>
    <row r="12" spans="1:12" x14ac:dyDescent="0.2">
      <c r="A12" t="s">
        <v>127</v>
      </c>
      <c r="B12" s="2">
        <v>45514</v>
      </c>
      <c r="C12" s="1">
        <v>0.56000000000000005</v>
      </c>
      <c r="D12" s="1">
        <v>37.799999999999997</v>
      </c>
      <c r="E12" s="1" t="s">
        <v>128</v>
      </c>
      <c r="F12" s="1" t="s">
        <v>129</v>
      </c>
      <c r="G12" s="1" t="s">
        <v>130</v>
      </c>
      <c r="H12" s="7">
        <f>(C12-C13)/C12</f>
        <v>0.10714285714285723</v>
      </c>
      <c r="I12" s="4">
        <f>(D12-D13)/D12</f>
        <v>1.5873015873015723E-2</v>
      </c>
    </row>
    <row r="13" spans="1:12" x14ac:dyDescent="0.2">
      <c r="A13" t="s">
        <v>127</v>
      </c>
      <c r="B13" s="2">
        <v>45504</v>
      </c>
      <c r="C13" s="1">
        <v>0.5</v>
      </c>
      <c r="D13" s="1">
        <v>37.200000000000003</v>
      </c>
      <c r="E13" s="1" t="s">
        <v>222</v>
      </c>
      <c r="F13" s="1" t="s">
        <v>223</v>
      </c>
      <c r="G13" s="1" t="s">
        <v>147</v>
      </c>
    </row>
    <row r="14" spans="1:12" x14ac:dyDescent="0.2">
      <c r="A14" t="s">
        <v>72</v>
      </c>
      <c r="B14" s="2">
        <v>45514</v>
      </c>
      <c r="C14" s="1">
        <v>0.82</v>
      </c>
      <c r="D14" s="1">
        <v>40.799999999999997</v>
      </c>
      <c r="E14" s="1" t="s">
        <v>73</v>
      </c>
      <c r="F14" s="1" t="s">
        <v>58</v>
      </c>
      <c r="G14" s="1" t="s">
        <v>74</v>
      </c>
      <c r="H14" s="4">
        <f>(C14-C15)/C14</f>
        <v>-3.6585365853658569E-2</v>
      </c>
      <c r="I14" s="4">
        <f>(D14-D15)/D14</f>
        <v>5.1470588235293983E-2</v>
      </c>
    </row>
    <row r="15" spans="1:12" x14ac:dyDescent="0.2">
      <c r="A15" t="s">
        <v>72</v>
      </c>
      <c r="B15" s="2">
        <v>45504</v>
      </c>
      <c r="C15" s="1">
        <v>0.85</v>
      </c>
      <c r="D15" s="1">
        <v>38.700000000000003</v>
      </c>
      <c r="E15" s="1" t="s">
        <v>139</v>
      </c>
      <c r="F15" s="1" t="s">
        <v>152</v>
      </c>
      <c r="G15" s="1" t="s">
        <v>141</v>
      </c>
    </row>
    <row r="16" spans="1:12" x14ac:dyDescent="0.2">
      <c r="A16" t="s">
        <v>36</v>
      </c>
      <c r="B16" s="2">
        <v>45514</v>
      </c>
      <c r="C16" s="1">
        <v>0.86</v>
      </c>
      <c r="D16" s="1">
        <v>49.2</v>
      </c>
      <c r="E16" s="1" t="s">
        <v>37</v>
      </c>
      <c r="F16" s="1" t="s">
        <v>38</v>
      </c>
      <c r="G16" s="1" t="s">
        <v>39</v>
      </c>
      <c r="H16" s="8">
        <f>(C16-C17)/C16</f>
        <v>0.12790697674418602</v>
      </c>
      <c r="I16" s="4">
        <f>(D16-D17)/D16</f>
        <v>3.6585365853658625E-2</v>
      </c>
    </row>
    <row r="17" spans="1:9" x14ac:dyDescent="0.2">
      <c r="A17" t="s">
        <v>36</v>
      </c>
      <c r="B17" s="2">
        <v>45504</v>
      </c>
      <c r="C17" s="1">
        <v>0.75</v>
      </c>
      <c r="D17" s="1">
        <v>47.4</v>
      </c>
      <c r="E17" s="1" t="s">
        <v>153</v>
      </c>
      <c r="F17" s="1" t="s">
        <v>154</v>
      </c>
      <c r="G17" s="1" t="s">
        <v>155</v>
      </c>
    </row>
    <row r="18" spans="1:9" x14ac:dyDescent="0.2">
      <c r="A18" t="s">
        <v>116</v>
      </c>
      <c r="B18" s="2">
        <v>45514</v>
      </c>
      <c r="C18" s="1">
        <v>0.78</v>
      </c>
      <c r="D18" s="1">
        <v>39.200000000000003</v>
      </c>
      <c r="E18" s="1" t="s">
        <v>117</v>
      </c>
      <c r="F18" s="1" t="s">
        <v>118</v>
      </c>
      <c r="G18" s="1" t="s">
        <v>119</v>
      </c>
      <c r="H18" s="4">
        <f>(C18-C19)/C18</f>
        <v>-2.5641025641025664E-2</v>
      </c>
      <c r="I18" s="4">
        <f>(D18-D19)/D18</f>
        <v>-7.9081632653061076E-2</v>
      </c>
    </row>
    <row r="19" spans="1:9" x14ac:dyDescent="0.2">
      <c r="A19" t="s">
        <v>116</v>
      </c>
      <c r="B19" s="2">
        <v>45504</v>
      </c>
      <c r="C19" s="1">
        <v>0.8</v>
      </c>
      <c r="D19" s="1">
        <v>42.3</v>
      </c>
      <c r="E19" s="1" t="s">
        <v>93</v>
      </c>
      <c r="F19" s="1" t="s">
        <v>216</v>
      </c>
      <c r="G19" s="1" t="s">
        <v>11</v>
      </c>
    </row>
    <row r="20" spans="1:9" x14ac:dyDescent="0.2">
      <c r="A20" t="s">
        <v>68</v>
      </c>
      <c r="B20" s="2">
        <v>45514</v>
      </c>
      <c r="C20" s="1">
        <v>0.78</v>
      </c>
      <c r="D20" s="1">
        <v>48.3</v>
      </c>
      <c r="E20" s="1" t="s">
        <v>69</v>
      </c>
      <c r="F20" s="1" t="s">
        <v>70</v>
      </c>
      <c r="G20" s="1" t="s">
        <v>71</v>
      </c>
      <c r="H20" s="7">
        <f>(C20-C21)/C20</f>
        <v>-0.141025641025641</v>
      </c>
      <c r="I20" s="4">
        <f>(D20-D21)/D20</f>
        <v>-4.1407867494824016E-2</v>
      </c>
    </row>
    <row r="21" spans="1:9" x14ac:dyDescent="0.2">
      <c r="A21" t="s">
        <v>68</v>
      </c>
      <c r="B21" s="2">
        <v>45504</v>
      </c>
      <c r="C21" s="1">
        <v>0.89</v>
      </c>
      <c r="D21" s="1">
        <v>50.3</v>
      </c>
      <c r="E21" s="1" t="s">
        <v>167</v>
      </c>
      <c r="F21" s="1" t="s">
        <v>69</v>
      </c>
      <c r="G21" s="1" t="s">
        <v>174</v>
      </c>
    </row>
    <row r="22" spans="1:9" x14ac:dyDescent="0.2">
      <c r="A22" t="s">
        <v>56</v>
      </c>
      <c r="B22" s="2">
        <v>45514</v>
      </c>
      <c r="C22" s="1">
        <v>0.76</v>
      </c>
      <c r="D22" s="1">
        <v>50.1</v>
      </c>
      <c r="E22" s="1" t="s">
        <v>57</v>
      </c>
      <c r="F22" s="1" t="s">
        <v>58</v>
      </c>
      <c r="G22" s="1" t="s">
        <v>59</v>
      </c>
      <c r="H22" s="4">
        <f>(C22-C23)/C22</f>
        <v>5.2631578947368467E-2</v>
      </c>
      <c r="I22" s="4">
        <f>(D22-D23)/D22</f>
        <v>6.7864271457085804E-2</v>
      </c>
    </row>
    <row r="23" spans="1:9" x14ac:dyDescent="0.2">
      <c r="A23" t="s">
        <v>56</v>
      </c>
      <c r="B23" s="2">
        <v>45504</v>
      </c>
      <c r="C23" s="1">
        <v>0.72</v>
      </c>
      <c r="D23" s="1">
        <v>46.7</v>
      </c>
      <c r="E23" s="1" t="s">
        <v>149</v>
      </c>
      <c r="F23" s="1" t="s">
        <v>184</v>
      </c>
      <c r="G23" s="1" t="s">
        <v>185</v>
      </c>
    </row>
    <row r="24" spans="1:9" x14ac:dyDescent="0.2">
      <c r="A24" t="s">
        <v>13</v>
      </c>
      <c r="B24" s="2">
        <v>45514</v>
      </c>
      <c r="C24" s="1">
        <v>1.4</v>
      </c>
      <c r="D24" s="1">
        <v>50</v>
      </c>
      <c r="E24" s="1" t="s">
        <v>14</v>
      </c>
      <c r="F24" s="1" t="s">
        <v>15</v>
      </c>
      <c r="G24" s="1" t="s">
        <v>16</v>
      </c>
      <c r="H24" s="8">
        <f>(C24-C25)/C24</f>
        <v>0.12142857142857139</v>
      </c>
      <c r="I24" s="4">
        <f>(D24-D25)/D24</f>
        <v>5.9999999999999429E-3</v>
      </c>
    </row>
    <row r="25" spans="1:9" x14ac:dyDescent="0.2">
      <c r="A25" t="s">
        <v>13</v>
      </c>
      <c r="B25" s="2">
        <v>45504</v>
      </c>
      <c r="C25" s="1">
        <v>1.23</v>
      </c>
      <c r="D25" s="1">
        <v>49.7</v>
      </c>
      <c r="E25" s="1" t="s">
        <v>145</v>
      </c>
      <c r="F25" s="1" t="s">
        <v>165</v>
      </c>
      <c r="G25" s="1" t="s">
        <v>111</v>
      </c>
    </row>
    <row r="26" spans="1:9" x14ac:dyDescent="0.2">
      <c r="A26" t="s">
        <v>25</v>
      </c>
      <c r="B26" s="2">
        <v>45514</v>
      </c>
      <c r="C26" s="1">
        <v>0.82</v>
      </c>
      <c r="D26" s="1">
        <v>45.9</v>
      </c>
      <c r="E26" s="1" t="s">
        <v>26</v>
      </c>
      <c r="F26" s="1" t="s">
        <v>27</v>
      </c>
      <c r="G26" s="1" t="s">
        <v>28</v>
      </c>
      <c r="H26" s="4">
        <f>(C26-C27)/C26</f>
        <v>-9.7560975609756184E-2</v>
      </c>
      <c r="I26" s="4">
        <f>(D26-D27)/D26</f>
        <v>3.0501089324618706E-2</v>
      </c>
    </row>
    <row r="27" spans="1:9" x14ac:dyDescent="0.2">
      <c r="A27" t="s">
        <v>25</v>
      </c>
      <c r="B27" s="2">
        <v>45504</v>
      </c>
      <c r="C27" s="1">
        <v>0.9</v>
      </c>
      <c r="D27" s="1">
        <v>44.5</v>
      </c>
      <c r="E27" s="1" t="s">
        <v>159</v>
      </c>
      <c r="F27" s="1" t="s">
        <v>160</v>
      </c>
      <c r="G27" s="1" t="s">
        <v>161</v>
      </c>
    </row>
    <row r="28" spans="1:9" x14ac:dyDescent="0.2">
      <c r="A28" t="s">
        <v>95</v>
      </c>
      <c r="B28" s="2">
        <v>45514</v>
      </c>
      <c r="C28" s="1">
        <v>1.04</v>
      </c>
      <c r="D28" s="1">
        <v>52</v>
      </c>
      <c r="E28" s="1" t="s">
        <v>38</v>
      </c>
      <c r="F28" s="1" t="s">
        <v>96</v>
      </c>
      <c r="G28" s="1" t="s">
        <v>97</v>
      </c>
      <c r="H28" s="8">
        <f>(C28-C29)/C28</f>
        <v>0.16346153846153849</v>
      </c>
      <c r="I28" s="4">
        <f>(D28-D29)/D28</f>
        <v>1.7307692307692281E-2</v>
      </c>
    </row>
    <row r="29" spans="1:9" x14ac:dyDescent="0.2">
      <c r="A29" t="s">
        <v>95</v>
      </c>
      <c r="B29" s="2">
        <v>45504</v>
      </c>
      <c r="C29" s="1">
        <v>0.87</v>
      </c>
      <c r="D29" s="1">
        <v>51.1</v>
      </c>
      <c r="E29" s="1" t="s">
        <v>197</v>
      </c>
      <c r="F29" s="1" t="s">
        <v>198</v>
      </c>
      <c r="G29" s="1" t="s">
        <v>199</v>
      </c>
    </row>
    <row r="30" spans="1:9" x14ac:dyDescent="0.2">
      <c r="A30" t="s">
        <v>102</v>
      </c>
      <c r="B30" s="2">
        <v>45514</v>
      </c>
      <c r="C30" s="1">
        <v>0.8</v>
      </c>
      <c r="D30" s="1">
        <v>46.8</v>
      </c>
      <c r="E30" s="1" t="s">
        <v>103</v>
      </c>
      <c r="F30" s="1" t="s">
        <v>104</v>
      </c>
      <c r="G30" s="1" t="s">
        <v>105</v>
      </c>
      <c r="H30" s="4">
        <f>(C30-C31)/C30</f>
        <v>-4.9999999999999906E-2</v>
      </c>
      <c r="I30" s="4">
        <f>(D30-D31)/D30</f>
        <v>-2.1367521367521368E-2</v>
      </c>
    </row>
    <row r="31" spans="1:9" x14ac:dyDescent="0.2">
      <c r="A31" t="s">
        <v>102</v>
      </c>
      <c r="B31" s="2">
        <v>45504</v>
      </c>
      <c r="C31" s="1">
        <v>0.84</v>
      </c>
      <c r="D31" s="1">
        <v>47.8</v>
      </c>
      <c r="E31" s="1" t="s">
        <v>204</v>
      </c>
      <c r="F31" s="1" t="s">
        <v>91</v>
      </c>
      <c r="G31" s="1" t="s">
        <v>130</v>
      </c>
    </row>
    <row r="32" spans="1:9" x14ac:dyDescent="0.2">
      <c r="A32" t="s">
        <v>84</v>
      </c>
      <c r="B32" s="2">
        <v>45514</v>
      </c>
      <c r="C32" s="1">
        <v>0.87</v>
      </c>
      <c r="D32" s="1">
        <v>49.1</v>
      </c>
      <c r="E32" s="1" t="s">
        <v>58</v>
      </c>
      <c r="F32" s="1" t="s">
        <v>85</v>
      </c>
      <c r="G32" s="1" t="s">
        <v>86</v>
      </c>
      <c r="H32" s="4">
        <f>(C32-C33)/C32</f>
        <v>3.4482758620689689E-2</v>
      </c>
      <c r="I32" s="4">
        <f>(D32-D33)/D32</f>
        <v>0.11812627291242371</v>
      </c>
    </row>
    <row r="33" spans="1:9" x14ac:dyDescent="0.2">
      <c r="A33" t="s">
        <v>84</v>
      </c>
      <c r="B33" s="2">
        <v>45504</v>
      </c>
      <c r="C33" s="1">
        <v>0.84</v>
      </c>
      <c r="D33" s="1">
        <v>43.3</v>
      </c>
      <c r="E33" s="1" t="s">
        <v>57</v>
      </c>
      <c r="F33" s="1" t="s">
        <v>203</v>
      </c>
      <c r="G33" s="1" t="s">
        <v>101</v>
      </c>
    </row>
    <row r="34" spans="1:9" x14ac:dyDescent="0.2">
      <c r="A34" t="s">
        <v>48</v>
      </c>
      <c r="B34" s="2">
        <v>45514</v>
      </c>
      <c r="C34" s="1">
        <v>1.24</v>
      </c>
      <c r="D34" s="1">
        <v>42.3</v>
      </c>
      <c r="E34" s="1" t="s">
        <v>49</v>
      </c>
      <c r="F34" s="1" t="s">
        <v>50</v>
      </c>
      <c r="G34" s="1" t="s">
        <v>51</v>
      </c>
      <c r="H34" s="4">
        <f>(C34-C35)/C34</f>
        <v>5.645161290322586E-2</v>
      </c>
      <c r="I34" s="4">
        <f>(D34-D35)/D34</f>
        <v>3.0732860520094496E-2</v>
      </c>
    </row>
    <row r="35" spans="1:9" x14ac:dyDescent="0.2">
      <c r="A35" t="s">
        <v>48</v>
      </c>
      <c r="B35" s="2">
        <v>45504</v>
      </c>
      <c r="C35" s="1">
        <v>1.17</v>
      </c>
      <c r="D35" s="1">
        <v>41</v>
      </c>
      <c r="E35" s="1" t="s">
        <v>171</v>
      </c>
      <c r="F35" s="1" t="s">
        <v>172</v>
      </c>
      <c r="G35" s="1" t="s">
        <v>173</v>
      </c>
    </row>
    <row r="36" spans="1:9" x14ac:dyDescent="0.2">
      <c r="A36" t="s">
        <v>33</v>
      </c>
      <c r="B36" s="2">
        <v>45514</v>
      </c>
      <c r="C36" s="1">
        <v>1.06</v>
      </c>
      <c r="D36" s="1">
        <v>39.799999999999997</v>
      </c>
      <c r="E36" s="1" t="s">
        <v>34</v>
      </c>
      <c r="F36" s="1" t="s">
        <v>8</v>
      </c>
      <c r="G36" s="1" t="s">
        <v>35</v>
      </c>
      <c r="H36" s="4">
        <f>(C36-C37)/C36</f>
        <v>0</v>
      </c>
      <c r="I36" s="4">
        <f>(D36-D37)/D36</f>
        <v>-4.7738693467336828E-2</v>
      </c>
    </row>
    <row r="37" spans="1:9" x14ac:dyDescent="0.2">
      <c r="A37" t="s">
        <v>33</v>
      </c>
      <c r="B37" s="2">
        <v>45504</v>
      </c>
      <c r="C37" s="1">
        <v>1.06</v>
      </c>
      <c r="D37" s="1">
        <v>41.7</v>
      </c>
      <c r="E37" s="1" t="s">
        <v>150</v>
      </c>
      <c r="F37" s="1" t="s">
        <v>148</v>
      </c>
      <c r="G37" s="1" t="s">
        <v>151</v>
      </c>
    </row>
    <row r="38" spans="1:9" x14ac:dyDescent="0.2">
      <c r="A38" t="s">
        <v>77</v>
      </c>
      <c r="B38" s="2">
        <v>45514</v>
      </c>
      <c r="C38" s="1">
        <v>0.84</v>
      </c>
      <c r="D38" s="1">
        <v>46.6</v>
      </c>
      <c r="E38" s="1" t="s">
        <v>45</v>
      </c>
      <c r="F38" s="1" t="s">
        <v>78</v>
      </c>
      <c r="G38" s="1" t="s">
        <v>79</v>
      </c>
      <c r="H38" s="4">
        <f>(C38-C39)/C38</f>
        <v>-2.3809523809523832E-2</v>
      </c>
      <c r="I38" s="4">
        <f>(D38-D39)/D38</f>
        <v>-2.1459227467811462E-3</v>
      </c>
    </row>
    <row r="39" spans="1:9" x14ac:dyDescent="0.2">
      <c r="A39" t="s">
        <v>77</v>
      </c>
      <c r="B39" s="2">
        <v>45504</v>
      </c>
      <c r="C39" s="1">
        <v>0.86</v>
      </c>
      <c r="D39" s="1">
        <v>46.7</v>
      </c>
      <c r="E39" s="1" t="s">
        <v>193</v>
      </c>
      <c r="F39" s="1" t="s">
        <v>119</v>
      </c>
      <c r="G39" s="1" t="s">
        <v>194</v>
      </c>
    </row>
    <row r="40" spans="1:9" x14ac:dyDescent="0.2">
      <c r="A40" t="s">
        <v>29</v>
      </c>
      <c r="B40" s="2">
        <v>45514</v>
      </c>
      <c r="C40" s="1">
        <v>0.96</v>
      </c>
      <c r="D40" s="1">
        <v>41</v>
      </c>
      <c r="E40" s="1" t="s">
        <v>30</v>
      </c>
      <c r="F40" s="1" t="s">
        <v>31</v>
      </c>
      <c r="G40" s="1" t="s">
        <v>32</v>
      </c>
      <c r="H40" s="4">
        <f>(C40-C41)/C40</f>
        <v>3.1249999999999913E-2</v>
      </c>
      <c r="I40" s="4">
        <f>(D40-D41)/D40</f>
        <v>7.3170731707316384E-3</v>
      </c>
    </row>
    <row r="41" spans="1:9" x14ac:dyDescent="0.2">
      <c r="A41" t="s">
        <v>29</v>
      </c>
      <c r="B41" s="2">
        <v>45504</v>
      </c>
      <c r="C41" s="1">
        <v>0.93</v>
      </c>
      <c r="D41" s="1">
        <v>40.700000000000003</v>
      </c>
      <c r="E41" s="1" t="s">
        <v>162</v>
      </c>
      <c r="F41" s="1" t="s">
        <v>163</v>
      </c>
      <c r="G41" s="1" t="s">
        <v>164</v>
      </c>
    </row>
    <row r="42" spans="1:9" x14ac:dyDescent="0.2">
      <c r="A42" t="s">
        <v>21</v>
      </c>
      <c r="B42" s="2">
        <v>45514</v>
      </c>
      <c r="C42" s="1">
        <v>0.96</v>
      </c>
      <c r="D42" s="1">
        <v>46.3</v>
      </c>
      <c r="E42" s="1" t="s">
        <v>22</v>
      </c>
      <c r="F42" s="1" t="s">
        <v>23</v>
      </c>
      <c r="G42" s="1" t="s">
        <v>24</v>
      </c>
      <c r="H42" s="4">
        <f>(C42-C43)/C42</f>
        <v>2.0833333333333353E-2</v>
      </c>
      <c r="I42" s="4">
        <f>(D42-D43)/D42</f>
        <v>4.3196544276456967E-3</v>
      </c>
    </row>
    <row r="43" spans="1:9" x14ac:dyDescent="0.2">
      <c r="A43" t="s">
        <v>21</v>
      </c>
      <c r="B43" s="2">
        <v>45504</v>
      </c>
      <c r="C43" s="1">
        <v>0.94</v>
      </c>
      <c r="D43" s="1">
        <v>46.1</v>
      </c>
      <c r="E43" s="1" t="s">
        <v>169</v>
      </c>
      <c r="F43" s="1" t="s">
        <v>170</v>
      </c>
      <c r="G43" s="1" t="s">
        <v>143</v>
      </c>
    </row>
    <row r="44" spans="1:9" x14ac:dyDescent="0.2">
      <c r="A44" t="s">
        <v>92</v>
      </c>
      <c r="B44" s="2">
        <v>45514</v>
      </c>
      <c r="C44" s="1">
        <v>0.85</v>
      </c>
      <c r="D44" s="1">
        <v>43.9</v>
      </c>
      <c r="E44" s="1" t="s">
        <v>93</v>
      </c>
      <c r="F44" s="1" t="s">
        <v>94</v>
      </c>
      <c r="G44" s="1" t="s">
        <v>69</v>
      </c>
      <c r="H44" s="4">
        <f>(C44-C45)/C44</f>
        <v>-1.1764705882352951E-2</v>
      </c>
      <c r="I44" s="4">
        <f>(D44-D45)/D44</f>
        <v>4.5558086560363491E-3</v>
      </c>
    </row>
    <row r="45" spans="1:9" x14ac:dyDescent="0.2">
      <c r="A45" t="s">
        <v>92</v>
      </c>
      <c r="B45" s="2">
        <v>45504</v>
      </c>
      <c r="C45" s="1">
        <v>0.86</v>
      </c>
      <c r="D45" s="1">
        <v>43.7</v>
      </c>
      <c r="E45" s="1" t="s">
        <v>142</v>
      </c>
      <c r="F45" s="1" t="s">
        <v>140</v>
      </c>
      <c r="G45" s="1" t="s">
        <v>210</v>
      </c>
    </row>
    <row r="46" spans="1:9" x14ac:dyDescent="0.2">
      <c r="A46" t="s">
        <v>112</v>
      </c>
      <c r="B46" s="2">
        <v>45514</v>
      </c>
      <c r="C46" s="1">
        <v>0.81</v>
      </c>
      <c r="D46" s="1">
        <v>34.1</v>
      </c>
      <c r="E46" s="1" t="s">
        <v>113</v>
      </c>
      <c r="F46" s="1" t="s">
        <v>114</v>
      </c>
      <c r="G46" s="1" t="s">
        <v>115</v>
      </c>
      <c r="H46" s="4">
        <f>(C46-C47)/C46</f>
        <v>3.703703703703707E-2</v>
      </c>
      <c r="I46" s="4">
        <f>(D46-D47)/D46</f>
        <v>-8.7976539589441974E-3</v>
      </c>
    </row>
    <row r="47" spans="1:9" x14ac:dyDescent="0.2">
      <c r="A47" t="s">
        <v>112</v>
      </c>
      <c r="B47" s="2">
        <v>45504</v>
      </c>
      <c r="C47" s="1">
        <v>0.78</v>
      </c>
      <c r="D47" s="1">
        <v>34.4</v>
      </c>
      <c r="E47" s="1" t="s">
        <v>113</v>
      </c>
      <c r="F47" s="1" t="s">
        <v>211</v>
      </c>
      <c r="G47" s="1" t="s">
        <v>212</v>
      </c>
    </row>
    <row r="48" spans="1:9" x14ac:dyDescent="0.2">
      <c r="A48" t="s">
        <v>120</v>
      </c>
      <c r="B48" s="2">
        <v>45514</v>
      </c>
      <c r="C48" s="1">
        <v>0.67</v>
      </c>
      <c r="D48" s="1">
        <v>36</v>
      </c>
      <c r="E48" s="1" t="s">
        <v>121</v>
      </c>
      <c r="F48" s="1" t="s">
        <v>122</v>
      </c>
      <c r="G48" s="1" t="s">
        <v>12</v>
      </c>
      <c r="H48" s="4">
        <f>(C48-C49)/C48</f>
        <v>-8.9552238805970061E-2</v>
      </c>
      <c r="I48" s="4">
        <f>(D48-D49)/D48</f>
        <v>-5.8333333333333376E-2</v>
      </c>
    </row>
    <row r="49" spans="1:9" x14ac:dyDescent="0.2">
      <c r="A49" t="s">
        <v>120</v>
      </c>
      <c r="B49" s="2">
        <v>45504</v>
      </c>
      <c r="C49" s="1">
        <v>0.73</v>
      </c>
      <c r="D49" s="1">
        <v>38.1</v>
      </c>
      <c r="E49" s="1" t="s">
        <v>200</v>
      </c>
      <c r="F49" s="1" t="s">
        <v>201</v>
      </c>
      <c r="G49" s="1" t="s">
        <v>202</v>
      </c>
    </row>
    <row r="50" spans="1:9" x14ac:dyDescent="0.2">
      <c r="A50" t="s">
        <v>40</v>
      </c>
      <c r="B50" s="2">
        <v>45514</v>
      </c>
      <c r="C50" s="1">
        <v>0.85</v>
      </c>
      <c r="D50" s="1">
        <v>45.2</v>
      </c>
      <c r="E50" s="1" t="s">
        <v>41</v>
      </c>
      <c r="F50" s="1" t="s">
        <v>42</v>
      </c>
      <c r="G50" s="1" t="s">
        <v>43</v>
      </c>
      <c r="H50" s="4">
        <f>(C50-C51)/C50</f>
        <v>-5.8823529411764761E-2</v>
      </c>
      <c r="I50" s="4">
        <f>(D50-D51)/D50</f>
        <v>-7.7433628318584066E-2</v>
      </c>
    </row>
    <row r="51" spans="1:9" x14ac:dyDescent="0.2">
      <c r="A51" t="s">
        <v>40</v>
      </c>
      <c r="B51" s="2">
        <v>45504</v>
      </c>
      <c r="C51" s="1">
        <v>0.9</v>
      </c>
      <c r="D51" s="1">
        <v>48.7</v>
      </c>
      <c r="E51" s="1" t="s">
        <v>181</v>
      </c>
      <c r="F51" s="1" t="s">
        <v>182</v>
      </c>
      <c r="G51" s="1" t="s">
        <v>183</v>
      </c>
    </row>
    <row r="52" spans="1:9" x14ac:dyDescent="0.2">
      <c r="A52" t="s">
        <v>75</v>
      </c>
      <c r="B52" s="2">
        <v>45514</v>
      </c>
      <c r="C52" s="1">
        <v>0.51</v>
      </c>
      <c r="D52" s="1">
        <v>26.1</v>
      </c>
      <c r="E52" s="1" t="s">
        <v>45</v>
      </c>
      <c r="F52" s="1" t="s">
        <v>76</v>
      </c>
      <c r="G52" s="1" t="s">
        <v>42</v>
      </c>
      <c r="H52" s="8">
        <f>(C52-C53)/C52</f>
        <v>0.11764705882352941</v>
      </c>
      <c r="I52" s="4">
        <f>(D52-D53)/D52</f>
        <v>1.5325670498084372E-2</v>
      </c>
    </row>
    <row r="53" spans="1:9" x14ac:dyDescent="0.2">
      <c r="A53" t="s">
        <v>75</v>
      </c>
      <c r="B53" s="2">
        <v>45504</v>
      </c>
      <c r="C53" s="1">
        <v>0.45</v>
      </c>
      <c r="D53" s="1">
        <v>25.7</v>
      </c>
      <c r="E53" s="1" t="s">
        <v>166</v>
      </c>
      <c r="F53" s="1" t="s">
        <v>167</v>
      </c>
      <c r="G53" s="1" t="s">
        <v>168</v>
      </c>
    </row>
    <row r="54" spans="1:9" x14ac:dyDescent="0.2">
      <c r="A54" t="s">
        <v>17</v>
      </c>
      <c r="B54" s="2">
        <v>45514</v>
      </c>
      <c r="C54" s="1">
        <v>0.98</v>
      </c>
      <c r="D54" s="1">
        <v>50.4</v>
      </c>
      <c r="E54" s="1" t="s">
        <v>18</v>
      </c>
      <c r="F54" s="1" t="s">
        <v>19</v>
      </c>
      <c r="G54" s="1" t="s">
        <v>20</v>
      </c>
      <c r="H54" s="4">
        <f>(C54-C55)/C54</f>
        <v>3.0612244897959211E-2</v>
      </c>
      <c r="I54" s="4">
        <f>(D54-D55)/D54</f>
        <v>-4.3650793650793711E-2</v>
      </c>
    </row>
    <row r="55" spans="1:9" x14ac:dyDescent="0.2">
      <c r="A55" t="s">
        <v>17</v>
      </c>
      <c r="B55" s="2">
        <v>45504</v>
      </c>
      <c r="C55" s="1">
        <v>0.95</v>
      </c>
      <c r="D55" s="1">
        <v>52.6</v>
      </c>
      <c r="E55" s="1" t="s">
        <v>94</v>
      </c>
      <c r="F55" s="1" t="s">
        <v>144</v>
      </c>
      <c r="G55" s="1" t="s">
        <v>180</v>
      </c>
    </row>
    <row r="56" spans="1:9" x14ac:dyDescent="0.2">
      <c r="A56" t="s">
        <v>98</v>
      </c>
      <c r="B56" s="2">
        <v>45514</v>
      </c>
      <c r="C56" s="1">
        <v>1.07</v>
      </c>
      <c r="D56" s="1">
        <v>45</v>
      </c>
      <c r="E56" s="1" t="s">
        <v>99</v>
      </c>
      <c r="F56" s="1" t="s">
        <v>100</v>
      </c>
      <c r="G56" s="1" t="s">
        <v>101</v>
      </c>
      <c r="H56" s="4">
        <f>(C56-C57)/C56</f>
        <v>-8.4112149532710137E-2</v>
      </c>
      <c r="I56" s="4">
        <f>(D56-D57)/D56</f>
        <v>-5.3333333333333302E-2</v>
      </c>
    </row>
    <row r="57" spans="1:9" x14ac:dyDescent="0.2">
      <c r="A57" t="s">
        <v>98</v>
      </c>
      <c r="B57" s="2">
        <v>45504</v>
      </c>
      <c r="C57" s="1">
        <v>1.1599999999999999</v>
      </c>
      <c r="D57" s="1">
        <v>47.4</v>
      </c>
      <c r="E57" s="1" t="s">
        <v>207</v>
      </c>
      <c r="F57" s="1" t="s">
        <v>208</v>
      </c>
      <c r="G57" s="1" t="s">
        <v>209</v>
      </c>
    </row>
    <row r="58" spans="1:9" x14ac:dyDescent="0.2">
      <c r="A58" t="s">
        <v>60</v>
      </c>
      <c r="B58" s="2">
        <v>45514</v>
      </c>
      <c r="C58" s="1">
        <v>0.88</v>
      </c>
      <c r="D58" s="1">
        <v>47.9</v>
      </c>
      <c r="E58" s="1" t="s">
        <v>61</v>
      </c>
      <c r="F58" s="1" t="s">
        <v>62</v>
      </c>
      <c r="G58" s="1" t="s">
        <v>63</v>
      </c>
      <c r="H58" s="7">
        <f>(C58-C59)/C58</f>
        <v>-0.10227272727272724</v>
      </c>
      <c r="I58" s="4">
        <f>(D58-D59)/D58</f>
        <v>-0.12317327766179538</v>
      </c>
    </row>
    <row r="59" spans="1:9" x14ac:dyDescent="0.2">
      <c r="A59" t="s">
        <v>60</v>
      </c>
      <c r="B59" s="2">
        <v>45504</v>
      </c>
      <c r="C59" s="1">
        <v>0.97</v>
      </c>
      <c r="D59" s="1">
        <v>53.8</v>
      </c>
      <c r="E59" s="1" t="s">
        <v>188</v>
      </c>
      <c r="F59" s="1" t="s">
        <v>146</v>
      </c>
      <c r="G59" s="1" t="s">
        <v>189</v>
      </c>
    </row>
    <row r="60" spans="1:9" x14ac:dyDescent="0.2">
      <c r="A60" t="s">
        <v>7</v>
      </c>
      <c r="B60" s="2">
        <v>45514</v>
      </c>
      <c r="C60" s="1">
        <v>0.99</v>
      </c>
      <c r="D60" s="1">
        <v>45.2</v>
      </c>
      <c r="E60" s="1" t="s">
        <v>8</v>
      </c>
      <c r="F60" s="1" t="s">
        <v>9</v>
      </c>
      <c r="G60" s="1" t="s">
        <v>10</v>
      </c>
      <c r="H60" s="4">
        <f>(C60-C61)/C60</f>
        <v>5.0505050505050553E-2</v>
      </c>
      <c r="I60" s="4">
        <f>(D60-D61)/D60</f>
        <v>-7.0796460176991052E-2</v>
      </c>
    </row>
    <row r="61" spans="1:9" x14ac:dyDescent="0.2">
      <c r="A61" t="s">
        <v>7</v>
      </c>
      <c r="B61" s="2">
        <v>45504</v>
      </c>
      <c r="C61" s="1">
        <v>0.94</v>
      </c>
      <c r="D61" s="1">
        <v>48.4</v>
      </c>
      <c r="E61" s="1" t="s">
        <v>156</v>
      </c>
      <c r="F61" s="1" t="s">
        <v>157</v>
      </c>
      <c r="G61" s="1" t="s">
        <v>158</v>
      </c>
    </row>
    <row r="62" spans="1:9" x14ac:dyDescent="0.2">
      <c r="A62" t="s">
        <v>44</v>
      </c>
      <c r="B62" s="2">
        <v>45514</v>
      </c>
      <c r="C62" s="1">
        <v>0.69</v>
      </c>
      <c r="D62" s="1">
        <v>52.1</v>
      </c>
      <c r="E62" s="1" t="s">
        <v>45</v>
      </c>
      <c r="F62" s="1" t="s">
        <v>46</v>
      </c>
      <c r="G62" s="1" t="s">
        <v>47</v>
      </c>
      <c r="H62" s="7">
        <f>(C62-C63)/C62</f>
        <v>-0.10144927536231894</v>
      </c>
      <c r="I62" s="4">
        <f>(D62-D63)/D62</f>
        <v>4.990403071017277E-2</v>
      </c>
    </row>
    <row r="63" spans="1:9" x14ac:dyDescent="0.2">
      <c r="A63" t="s">
        <v>44</v>
      </c>
      <c r="B63" s="2">
        <v>45504</v>
      </c>
      <c r="C63" s="1">
        <v>0.76</v>
      </c>
      <c r="D63" s="1">
        <v>49.5</v>
      </c>
      <c r="E63" s="1" t="s">
        <v>190</v>
      </c>
      <c r="F63" s="1" t="s">
        <v>191</v>
      </c>
      <c r="G63" s="1" t="s">
        <v>192</v>
      </c>
    </row>
    <row r="64" spans="1:9" x14ac:dyDescent="0.2">
      <c r="A64" t="s">
        <v>108</v>
      </c>
      <c r="B64" s="2">
        <v>45514</v>
      </c>
      <c r="C64" s="1">
        <v>0.81</v>
      </c>
      <c r="D64" s="1">
        <v>41.7</v>
      </c>
      <c r="E64" s="1" t="s">
        <v>109</v>
      </c>
      <c r="F64" s="1" t="s">
        <v>110</v>
      </c>
      <c r="G64" s="1" t="s">
        <v>111</v>
      </c>
      <c r="H64" s="4">
        <f>(C64-C65)/C64</f>
        <v>-2.4691358024691242E-2</v>
      </c>
      <c r="I64" s="4">
        <f>(D64-D65)/D64</f>
        <v>-6.9544364508393242E-2</v>
      </c>
    </row>
    <row r="65" spans="1:9" x14ac:dyDescent="0.2">
      <c r="A65" t="s">
        <v>108</v>
      </c>
      <c r="B65" s="2">
        <v>45504</v>
      </c>
      <c r="C65" s="1">
        <v>0.83</v>
      </c>
      <c r="D65" s="1">
        <v>44.6</v>
      </c>
      <c r="E65" s="1" t="s">
        <v>195</v>
      </c>
      <c r="F65" s="1" t="s">
        <v>49</v>
      </c>
      <c r="G65" s="1" t="s">
        <v>196</v>
      </c>
      <c r="H65" s="4"/>
      <c r="I65" s="4"/>
    </row>
    <row r="66" spans="1:9" x14ac:dyDescent="0.2">
      <c r="A66" t="s">
        <v>106</v>
      </c>
      <c r="B66" s="2">
        <v>45514</v>
      </c>
      <c r="C66" s="1">
        <v>0.95</v>
      </c>
      <c r="D66" s="1">
        <v>49.5</v>
      </c>
      <c r="E66" s="1" t="s">
        <v>93</v>
      </c>
      <c r="F66" s="1" t="s">
        <v>107</v>
      </c>
      <c r="G66" s="1" t="s">
        <v>22</v>
      </c>
      <c r="H66" s="4">
        <f>(C66-C67)/C66</f>
        <v>4.210526315789466E-2</v>
      </c>
      <c r="I66" s="4">
        <f>(D66-D67)/D66</f>
        <v>-3.0303030303030304E-2</v>
      </c>
    </row>
    <row r="67" spans="1:9" x14ac:dyDescent="0.2">
      <c r="A67" t="s">
        <v>106</v>
      </c>
      <c r="B67" s="2">
        <v>45504</v>
      </c>
      <c r="C67" s="1">
        <v>0.91</v>
      </c>
      <c r="D67" s="1">
        <v>51</v>
      </c>
      <c r="E67" s="1" t="s">
        <v>217</v>
      </c>
      <c r="F67" s="1" t="s">
        <v>105</v>
      </c>
      <c r="G67" s="1" t="s">
        <v>218</v>
      </c>
      <c r="H67" s="4"/>
      <c r="I67" s="4"/>
    </row>
    <row r="68" spans="1:9" x14ac:dyDescent="0.2">
      <c r="A68" t="s">
        <v>80</v>
      </c>
      <c r="B68" s="2">
        <v>45514</v>
      </c>
      <c r="C68" s="1">
        <v>0.69</v>
      </c>
      <c r="D68" s="1">
        <v>41.1</v>
      </c>
      <c r="E68" s="1" t="s">
        <v>81</v>
      </c>
      <c r="F68" s="1" t="s">
        <v>82</v>
      </c>
      <c r="G68" s="1" t="s">
        <v>83</v>
      </c>
      <c r="H68" s="7">
        <f>(C68-C69)/C68</f>
        <v>-0.15942028985507262</v>
      </c>
      <c r="I68" s="4">
        <f>(D68-D69)/D68</f>
        <v>-0.10462287104622864</v>
      </c>
    </row>
    <row r="69" spans="1:9" x14ac:dyDescent="0.2">
      <c r="A69" t="s">
        <v>80</v>
      </c>
      <c r="B69" s="2">
        <v>45504</v>
      </c>
      <c r="C69" s="1">
        <v>0.8</v>
      </c>
      <c r="D69" s="1">
        <v>45.4</v>
      </c>
      <c r="E69" s="1" t="s">
        <v>175</v>
      </c>
      <c r="F69" s="1" t="s">
        <v>176</v>
      </c>
      <c r="G69" s="1" t="s">
        <v>177</v>
      </c>
      <c r="H69" s="4"/>
      <c r="I69" s="4"/>
    </row>
    <row r="70" spans="1:9" x14ac:dyDescent="0.2">
      <c r="A70" t="s">
        <v>123</v>
      </c>
      <c r="B70" s="2">
        <v>45514</v>
      </c>
      <c r="C70" s="1">
        <v>0.48</v>
      </c>
      <c r="D70" s="1">
        <v>31.5</v>
      </c>
      <c r="E70" s="1" t="s">
        <v>124</v>
      </c>
      <c r="F70" s="1" t="s">
        <v>125</v>
      </c>
      <c r="G70" s="1" t="s">
        <v>126</v>
      </c>
      <c r="H70" s="8">
        <f>(C70-C71)/C70</f>
        <v>0.18749999999999994</v>
      </c>
      <c r="I70" s="4">
        <f>(D70-D71)/D70</f>
        <v>0.13650793650793652</v>
      </c>
    </row>
    <row r="71" spans="1:9" x14ac:dyDescent="0.2">
      <c r="A71" t="s">
        <v>123</v>
      </c>
      <c r="B71" s="2">
        <v>45504</v>
      </c>
      <c r="C71" s="1">
        <v>0.39</v>
      </c>
      <c r="D71" s="1">
        <v>27.2</v>
      </c>
      <c r="E71" s="1" t="s">
        <v>213</v>
      </c>
      <c r="F71" s="1" t="s">
        <v>214</v>
      </c>
      <c r="G71" s="1" t="s">
        <v>215</v>
      </c>
      <c r="H71" s="4"/>
      <c r="I71" s="4"/>
    </row>
    <row r="73" spans="1:9" x14ac:dyDescent="0.2">
      <c r="B73" s="6">
        <v>45514</v>
      </c>
      <c r="C73" s="5" t="e">
        <f>#VALUE!</f>
        <v>#VALUE!</v>
      </c>
      <c r="D73" s="5" t="e">
        <f>#VALUE!</f>
        <v>#VALUE!</v>
      </c>
    </row>
    <row r="74" spans="1:9" x14ac:dyDescent="0.2">
      <c r="B74" s="6">
        <v>45504</v>
      </c>
      <c r="C74" s="5" t="e">
        <f>#VALUE!</f>
        <v>#VALUE!</v>
      </c>
      <c r="D74" s="5" t="e">
        <f>#VALUE!</f>
        <v>#VALUE!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DF75-76EC-6C49-B4A6-C9C20504E1C3}">
  <dimension ref="A1:BJ49"/>
  <sheetViews>
    <sheetView tabSelected="1" topLeftCell="AS1" workbookViewId="0">
      <selection activeCell="BL20" sqref="BL20"/>
    </sheetView>
  </sheetViews>
  <sheetFormatPr baseColWidth="10" defaultRowHeight="16" x14ac:dyDescent="0.2"/>
  <cols>
    <col min="1" max="1" width="17.6640625" style="1" bestFit="1" customWidth="1"/>
    <col min="2" max="2" width="7.5" style="1" bestFit="1" customWidth="1"/>
    <col min="3" max="3" width="17.33203125" style="1" bestFit="1" customWidth="1"/>
    <col min="4" max="4" width="24.83203125" style="1" hidden="1" customWidth="1"/>
    <col min="5" max="5" width="28.33203125" style="1" hidden="1" customWidth="1"/>
    <col min="6" max="6" width="38.33203125" style="1" hidden="1" customWidth="1"/>
    <col min="7" max="7" width="25.1640625" style="1" hidden="1" customWidth="1"/>
    <col min="9" max="9" width="17.6640625" bestFit="1" customWidth="1"/>
    <col min="10" max="10" width="7.5" bestFit="1" customWidth="1"/>
    <col min="11" max="11" width="17.33203125" style="1" bestFit="1" customWidth="1"/>
    <col min="12" max="12" width="26" style="1" hidden="1" customWidth="1"/>
    <col min="13" max="13" width="29.1640625" style="1" hidden="1" customWidth="1"/>
    <col min="14" max="14" width="39.1640625" style="1" hidden="1" customWidth="1"/>
    <col min="15" max="15" width="26.33203125" style="1" hidden="1" customWidth="1"/>
    <col min="16" max="16" width="8.6640625" customWidth="1"/>
    <col min="17" max="17" width="17.6640625" bestFit="1" customWidth="1"/>
    <col min="18" max="18" width="6.5" bestFit="1" customWidth="1"/>
    <col min="19" max="19" width="17.33203125" style="1" bestFit="1" customWidth="1"/>
    <col min="20" max="20" width="26" style="1" hidden="1" customWidth="1"/>
    <col min="21" max="21" width="29.1640625" style="1" hidden="1" customWidth="1"/>
    <col min="22" max="22" width="39.1640625" style="1" hidden="1" customWidth="1"/>
    <col min="23" max="23" width="26.33203125" style="1" hidden="1" customWidth="1"/>
    <col min="24" max="24" width="17.33203125" style="1" bestFit="1" customWidth="1"/>
    <col min="25" max="25" width="7.5" style="1" bestFit="1" customWidth="1"/>
    <col min="26" max="26" width="16.33203125" style="1" bestFit="1" customWidth="1"/>
    <col min="27" max="27" width="21.5" customWidth="1"/>
    <col min="28" max="28" width="7.5" bestFit="1" customWidth="1"/>
    <col min="29" max="29" width="17.33203125" bestFit="1" customWidth="1"/>
    <col min="30" max="30" width="17.33203125" customWidth="1"/>
    <col min="31" max="31" width="7.5" bestFit="1" customWidth="1"/>
    <col min="32" max="32" width="17.33203125" customWidth="1"/>
    <col min="33" max="33" width="17.6640625" bestFit="1" customWidth="1"/>
    <col min="34" max="34" width="7.5" bestFit="1" customWidth="1"/>
    <col min="35" max="35" width="17.33203125" bestFit="1" customWidth="1"/>
    <col min="36" max="36" width="17.6640625" bestFit="1" customWidth="1"/>
    <col min="39" max="39" width="20.1640625" customWidth="1"/>
    <col min="41" max="41" width="13.33203125" customWidth="1"/>
    <col min="42" max="42" width="21.83203125" customWidth="1"/>
    <col min="44" max="44" width="12.83203125" customWidth="1"/>
    <col min="45" max="45" width="18.83203125" customWidth="1"/>
    <col min="46" max="47" width="13.83203125" customWidth="1"/>
    <col min="48" max="48" width="16.6640625" customWidth="1"/>
    <col min="51" max="51" width="17.6640625" bestFit="1" customWidth="1"/>
    <col min="52" max="52" width="8.5" bestFit="1" customWidth="1"/>
    <col min="53" max="53" width="18.5" customWidth="1"/>
    <col min="54" max="54" width="18.83203125" customWidth="1"/>
    <col min="56" max="56" width="15.6640625" customWidth="1"/>
    <col min="57" max="57" width="17.6640625" bestFit="1" customWidth="1"/>
    <col min="60" max="60" width="12.6640625" style="5" customWidth="1"/>
    <col min="61" max="61" width="11.33203125" bestFit="1" customWidth="1"/>
    <col min="62" max="62" width="11.83203125" customWidth="1"/>
  </cols>
  <sheetData>
    <row r="1" spans="1:62" s="10" customFormat="1" x14ac:dyDescent="0.2">
      <c r="A1" s="11" t="s">
        <v>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0" t="s">
        <v>0</v>
      </c>
      <c r="J1" s="10" t="s">
        <v>1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Q1" s="10" t="s">
        <v>0</v>
      </c>
      <c r="R1" s="10" t="s">
        <v>1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0</v>
      </c>
      <c r="Y1" s="11" t="s">
        <v>1</v>
      </c>
      <c r="Z1" s="11" t="s">
        <v>2</v>
      </c>
      <c r="AA1" s="14" t="s">
        <v>0</v>
      </c>
      <c r="AB1" s="15" t="s">
        <v>1</v>
      </c>
      <c r="AC1" s="15" t="s">
        <v>2</v>
      </c>
      <c r="AD1" s="22" t="s">
        <v>0</v>
      </c>
      <c r="AE1" s="23" t="s">
        <v>1</v>
      </c>
      <c r="AF1" s="24" t="s">
        <v>2</v>
      </c>
      <c r="AG1" s="14" t="s">
        <v>0</v>
      </c>
      <c r="AH1" s="15" t="s">
        <v>1</v>
      </c>
      <c r="AI1" s="16" t="s">
        <v>2</v>
      </c>
      <c r="AJ1" s="14" t="s">
        <v>0</v>
      </c>
      <c r="AK1" s="15" t="s">
        <v>1</v>
      </c>
      <c r="AL1" s="16" t="s">
        <v>2</v>
      </c>
      <c r="AM1" s="14" t="s">
        <v>0</v>
      </c>
      <c r="AN1" s="15" t="s">
        <v>1</v>
      </c>
      <c r="AO1" s="16" t="s">
        <v>2</v>
      </c>
      <c r="AP1" s="10" t="s">
        <v>0</v>
      </c>
      <c r="AQ1" s="10" t="s">
        <v>1</v>
      </c>
      <c r="AR1" s="10" t="s">
        <v>2</v>
      </c>
      <c r="AS1" s="14" t="s">
        <v>0</v>
      </c>
      <c r="AT1" s="15" t="s">
        <v>1</v>
      </c>
      <c r="AU1" s="16" t="s">
        <v>2</v>
      </c>
      <c r="AV1" s="14" t="s">
        <v>0</v>
      </c>
      <c r="AW1" s="15" t="s">
        <v>1</v>
      </c>
      <c r="AX1" s="16" t="s">
        <v>2</v>
      </c>
      <c r="AY1" s="14" t="s">
        <v>0</v>
      </c>
      <c r="AZ1" s="15" t="s">
        <v>1</v>
      </c>
      <c r="BA1" s="15" t="s">
        <v>2</v>
      </c>
      <c r="BB1" s="14" t="s">
        <v>0</v>
      </c>
      <c r="BC1" s="15" t="s">
        <v>1</v>
      </c>
      <c r="BD1" s="16" t="s">
        <v>2</v>
      </c>
      <c r="BE1" s="14" t="s">
        <v>0</v>
      </c>
      <c r="BF1" s="15" t="s">
        <v>1</v>
      </c>
      <c r="BG1" s="16" t="s">
        <v>2</v>
      </c>
      <c r="BH1" s="21" t="s">
        <v>431</v>
      </c>
      <c r="BI1" s="15" t="s">
        <v>432</v>
      </c>
      <c r="BJ1" s="16" t="s">
        <v>372</v>
      </c>
    </row>
    <row r="2" spans="1:62" x14ac:dyDescent="0.2">
      <c r="A2" s="1" t="s">
        <v>87</v>
      </c>
      <c r="B2" s="2">
        <v>45524</v>
      </c>
      <c r="C2" s="1">
        <v>0.99</v>
      </c>
      <c r="D2" s="1">
        <v>53.3</v>
      </c>
      <c r="E2" s="1" t="s">
        <v>355</v>
      </c>
      <c r="F2" s="1" t="s">
        <v>356</v>
      </c>
      <c r="G2" s="1" t="s">
        <v>357</v>
      </c>
      <c r="I2" t="s">
        <v>87</v>
      </c>
      <c r="J2" s="9">
        <v>45533</v>
      </c>
      <c r="K2" s="1">
        <v>0.95</v>
      </c>
      <c r="L2" s="1">
        <v>45.6</v>
      </c>
      <c r="M2" s="1" t="s">
        <v>282</v>
      </c>
      <c r="N2" s="1" t="s">
        <v>283</v>
      </c>
      <c r="O2" s="1" t="s">
        <v>284</v>
      </c>
      <c r="Q2" s="1" t="s">
        <v>87</v>
      </c>
      <c r="R2" s="2">
        <v>45540</v>
      </c>
      <c r="S2" s="1">
        <v>1.02</v>
      </c>
      <c r="T2" s="1">
        <v>43.4</v>
      </c>
      <c r="U2" s="1" t="s">
        <v>373</v>
      </c>
      <c r="V2" s="1" t="s">
        <v>288</v>
      </c>
      <c r="W2" s="1" t="s">
        <v>368</v>
      </c>
      <c r="X2" s="1" t="s">
        <v>87</v>
      </c>
      <c r="Y2" s="2">
        <v>45547</v>
      </c>
      <c r="Z2" s="1">
        <v>1</v>
      </c>
      <c r="AA2" s="17" t="s">
        <v>87</v>
      </c>
      <c r="AB2" s="9">
        <v>45554</v>
      </c>
      <c r="AC2">
        <v>1.04</v>
      </c>
      <c r="AD2" s="17" t="s">
        <v>87</v>
      </c>
      <c r="AE2" s="9">
        <v>45561</v>
      </c>
      <c r="AF2" s="18">
        <v>1.03</v>
      </c>
      <c r="AG2" s="17" t="s">
        <v>87</v>
      </c>
      <c r="AH2" s="9">
        <v>45568</v>
      </c>
      <c r="AI2" s="18">
        <v>1.2</v>
      </c>
      <c r="AJ2" s="17" t="s">
        <v>87</v>
      </c>
      <c r="AK2" s="9">
        <v>45575</v>
      </c>
      <c r="AL2" s="18">
        <v>1.25</v>
      </c>
      <c r="AM2" s="17" t="s">
        <v>87</v>
      </c>
      <c r="AN2" s="9">
        <v>45582</v>
      </c>
      <c r="AO2" s="18">
        <v>1.24</v>
      </c>
      <c r="AP2" t="s">
        <v>87</v>
      </c>
      <c r="AQ2" s="9">
        <v>45596</v>
      </c>
      <c r="AR2">
        <v>1.3</v>
      </c>
      <c r="AS2" s="17" t="s">
        <v>87</v>
      </c>
      <c r="AT2" s="9">
        <v>45603</v>
      </c>
      <c r="AU2" s="18">
        <v>1.1200000000000001</v>
      </c>
      <c r="AV2" s="17" t="s">
        <v>87</v>
      </c>
      <c r="AW2" s="9">
        <v>45610</v>
      </c>
      <c r="AX2" s="18">
        <v>1.0900000000000001</v>
      </c>
      <c r="AY2" s="17" t="s">
        <v>87</v>
      </c>
      <c r="AZ2" s="9">
        <v>45617</v>
      </c>
      <c r="BA2">
        <v>1.06</v>
      </c>
      <c r="BB2" s="17" t="s">
        <v>87</v>
      </c>
      <c r="BC2" s="9">
        <v>45630</v>
      </c>
      <c r="BD2" s="18">
        <v>1.07</v>
      </c>
      <c r="BE2" s="17" t="s">
        <v>87</v>
      </c>
      <c r="BF2" s="42">
        <v>45637</v>
      </c>
      <c r="BG2" s="18">
        <v>1.03</v>
      </c>
      <c r="BH2" s="39">
        <f>AVERAGE(C2,K2,S2,Z2,AC2,AF2,AI2,AL2,AO2,AR2,AU2,AX2,BA2,BD2,BG2)</f>
        <v>1.0926666666666667</v>
      </c>
      <c r="BI2" s="40">
        <f>(BG2-BH2)/BG2</f>
        <v>-6.0841423948220043E-2</v>
      </c>
      <c r="BJ2" s="41">
        <f>(BG2-BD2)/BG2</f>
        <v>-3.8834951456310711E-2</v>
      </c>
    </row>
    <row r="3" spans="1:62" x14ac:dyDescent="0.2">
      <c r="A3" s="1" t="s">
        <v>64</v>
      </c>
      <c r="B3" s="2">
        <v>45524</v>
      </c>
      <c r="C3" s="1">
        <v>0.75</v>
      </c>
      <c r="D3" s="1">
        <v>48.1</v>
      </c>
      <c r="E3" s="1" t="s">
        <v>326</v>
      </c>
      <c r="F3" s="1" t="s">
        <v>296</v>
      </c>
      <c r="G3" s="1" t="s">
        <v>277</v>
      </c>
      <c r="I3" t="s">
        <v>64</v>
      </c>
      <c r="J3" s="9">
        <v>45533</v>
      </c>
      <c r="K3" s="1">
        <v>0.77</v>
      </c>
      <c r="L3" s="1">
        <v>40.6</v>
      </c>
      <c r="M3" s="1" t="s">
        <v>263</v>
      </c>
      <c r="N3" s="1" t="s">
        <v>264</v>
      </c>
      <c r="O3" s="1" t="s">
        <v>265</v>
      </c>
      <c r="Q3" s="1" t="s">
        <v>64</v>
      </c>
      <c r="R3" s="2">
        <v>45540</v>
      </c>
      <c r="S3" s="1">
        <v>0.8</v>
      </c>
      <c r="T3" s="1">
        <v>39.6</v>
      </c>
      <c r="U3" s="1" t="s">
        <v>374</v>
      </c>
      <c r="V3" s="1" t="s">
        <v>375</v>
      </c>
      <c r="W3" s="1" t="s">
        <v>376</v>
      </c>
      <c r="X3" s="1" t="s">
        <v>64</v>
      </c>
      <c r="Y3" s="2">
        <v>45547</v>
      </c>
      <c r="Z3" s="1">
        <v>0.74</v>
      </c>
      <c r="AA3" s="17" t="s">
        <v>64</v>
      </c>
      <c r="AB3" s="9">
        <v>45554</v>
      </c>
      <c r="AC3">
        <v>0.79</v>
      </c>
      <c r="AD3" s="17" t="s">
        <v>64</v>
      </c>
      <c r="AE3" s="9">
        <v>45561</v>
      </c>
      <c r="AF3" s="18">
        <v>0.66</v>
      </c>
      <c r="AG3" s="17" t="s">
        <v>64</v>
      </c>
      <c r="AH3" s="9">
        <v>45568</v>
      </c>
      <c r="AI3" s="18">
        <v>0.73</v>
      </c>
      <c r="AJ3" s="17"/>
      <c r="AK3" s="9"/>
      <c r="AL3" s="18"/>
      <c r="AM3" s="17"/>
      <c r="AN3" s="9"/>
      <c r="AO3" s="18"/>
      <c r="AQ3" s="9"/>
      <c r="AS3" s="17" t="s">
        <v>64</v>
      </c>
      <c r="AT3" s="9">
        <v>45603</v>
      </c>
      <c r="AU3" s="18">
        <v>0.73</v>
      </c>
      <c r="AV3" s="17" t="s">
        <v>64</v>
      </c>
      <c r="AW3" s="9">
        <v>45610</v>
      </c>
      <c r="AX3" s="18">
        <v>0.75</v>
      </c>
      <c r="AY3" s="17" t="s">
        <v>64</v>
      </c>
      <c r="AZ3" s="9">
        <v>45617</v>
      </c>
      <c r="BA3">
        <v>0.76</v>
      </c>
      <c r="BB3" s="17" t="s">
        <v>64</v>
      </c>
      <c r="BC3" s="9">
        <v>45630</v>
      </c>
      <c r="BD3" s="18">
        <v>0.79</v>
      </c>
      <c r="BE3" s="17" t="s">
        <v>64</v>
      </c>
      <c r="BF3" s="42">
        <v>45637</v>
      </c>
      <c r="BG3" s="18">
        <v>0.73</v>
      </c>
      <c r="BH3" s="39">
        <f t="shared" ref="BH3:BH42" si="0">AVERAGE(C3,K3,S3,Z3,AC3,AF3,AI3,AL3,AO3,AR3,AU3,AX3,BA3,BD3,BG3)</f>
        <v>0.75</v>
      </c>
      <c r="BI3" s="40">
        <f t="shared" ref="BI3:BI42" si="1">(BG3-BH3)/BG3</f>
        <v>-2.7397260273972629E-2</v>
      </c>
      <c r="BJ3" s="41">
        <f t="shared" ref="BJ3:BJ42" si="2">(BG3-BD3)/BG3</f>
        <v>-8.2191780821917887E-2</v>
      </c>
    </row>
    <row r="4" spans="1:62" x14ac:dyDescent="0.2">
      <c r="A4" s="1" t="s">
        <v>227</v>
      </c>
      <c r="B4" s="2">
        <v>45524</v>
      </c>
      <c r="C4" s="1">
        <v>0.9</v>
      </c>
      <c r="D4" s="1">
        <v>48.7</v>
      </c>
      <c r="E4" s="1" t="s">
        <v>204</v>
      </c>
      <c r="F4" s="1" t="s">
        <v>307</v>
      </c>
      <c r="G4" s="1" t="s">
        <v>308</v>
      </c>
      <c r="I4" t="s">
        <v>227</v>
      </c>
      <c r="J4" s="9">
        <v>45533</v>
      </c>
      <c r="K4" s="1">
        <v>0.79</v>
      </c>
      <c r="L4" s="1">
        <v>48.1</v>
      </c>
      <c r="M4" s="1" t="s">
        <v>228</v>
      </c>
      <c r="N4" s="1" t="s">
        <v>14</v>
      </c>
      <c r="O4" s="1" t="s">
        <v>229</v>
      </c>
      <c r="Q4" s="1" t="s">
        <v>227</v>
      </c>
      <c r="R4" s="2">
        <v>45540</v>
      </c>
      <c r="S4" s="1">
        <v>0.92</v>
      </c>
      <c r="T4" s="1">
        <v>47.9</v>
      </c>
      <c r="U4" s="1" t="s">
        <v>377</v>
      </c>
      <c r="V4" s="1" t="s">
        <v>335</v>
      </c>
      <c r="W4" s="1" t="s">
        <v>378</v>
      </c>
      <c r="X4" s="1" t="s">
        <v>227</v>
      </c>
      <c r="Y4" s="2">
        <v>45547</v>
      </c>
      <c r="Z4" s="1">
        <v>1.1599999999999999</v>
      </c>
      <c r="AA4" s="17" t="s">
        <v>227</v>
      </c>
      <c r="AB4" s="9">
        <v>45554</v>
      </c>
      <c r="AC4">
        <v>1.04</v>
      </c>
      <c r="AD4" s="17" t="s">
        <v>227</v>
      </c>
      <c r="AE4" s="9">
        <v>45561</v>
      </c>
      <c r="AF4" s="18">
        <v>1.1599999999999999</v>
      </c>
      <c r="AG4" s="17" t="s">
        <v>227</v>
      </c>
      <c r="AH4" s="9">
        <v>45568</v>
      </c>
      <c r="AI4" s="18">
        <v>1.03</v>
      </c>
      <c r="AJ4" s="17" t="s">
        <v>227</v>
      </c>
      <c r="AK4" s="9">
        <v>45575</v>
      </c>
      <c r="AL4" s="18">
        <v>1.1299999999999999</v>
      </c>
      <c r="AM4" s="17" t="s">
        <v>227</v>
      </c>
      <c r="AN4" s="9">
        <v>45582</v>
      </c>
      <c r="AO4" s="18">
        <v>0.9</v>
      </c>
      <c r="AP4" t="s">
        <v>227</v>
      </c>
      <c r="AQ4" s="9">
        <v>45596</v>
      </c>
      <c r="AR4">
        <v>0.97</v>
      </c>
      <c r="AS4" s="17" t="s">
        <v>227</v>
      </c>
      <c r="AT4" s="9">
        <v>45603</v>
      </c>
      <c r="AU4" s="18">
        <v>0.98</v>
      </c>
      <c r="AV4" s="17" t="s">
        <v>227</v>
      </c>
      <c r="AW4" s="9">
        <v>45610</v>
      </c>
      <c r="AX4" s="18">
        <v>1.1100000000000001</v>
      </c>
      <c r="AY4" s="17" t="s">
        <v>227</v>
      </c>
      <c r="AZ4" s="9">
        <v>45617</v>
      </c>
      <c r="BA4">
        <v>1.08</v>
      </c>
      <c r="BB4" s="17" t="s">
        <v>227</v>
      </c>
      <c r="BC4" s="9">
        <v>45630</v>
      </c>
      <c r="BD4" s="18">
        <v>1.06</v>
      </c>
      <c r="BE4" s="17" t="s">
        <v>227</v>
      </c>
      <c r="BF4" s="42">
        <v>45637</v>
      </c>
      <c r="BG4" s="18">
        <v>0.99</v>
      </c>
      <c r="BH4" s="39">
        <f t="shared" si="0"/>
        <v>1.0146666666666666</v>
      </c>
      <c r="BI4" s="40">
        <f t="shared" si="1"/>
        <v>-2.4915824915824863E-2</v>
      </c>
      <c r="BJ4" s="41">
        <f t="shared" si="2"/>
        <v>-7.0707070707070774E-2</v>
      </c>
    </row>
    <row r="5" spans="1:62" x14ac:dyDescent="0.2">
      <c r="A5" s="1" t="s">
        <v>253</v>
      </c>
      <c r="B5" s="2">
        <v>45524</v>
      </c>
      <c r="C5" s="1">
        <v>0.89</v>
      </c>
      <c r="D5" s="1">
        <v>47.9</v>
      </c>
      <c r="E5" s="1" t="s">
        <v>364</v>
      </c>
      <c r="F5" s="1" t="s">
        <v>276</v>
      </c>
      <c r="G5" s="1" t="s">
        <v>365</v>
      </c>
      <c r="I5" t="s">
        <v>253</v>
      </c>
      <c r="J5" s="9">
        <v>45533</v>
      </c>
      <c r="K5" s="1">
        <v>0.9</v>
      </c>
      <c r="L5" s="1">
        <v>46.5</v>
      </c>
      <c r="M5" s="1" t="s">
        <v>254</v>
      </c>
      <c r="N5" s="1" t="s">
        <v>255</v>
      </c>
      <c r="O5" s="1" t="s">
        <v>162</v>
      </c>
      <c r="Q5" s="1" t="s">
        <v>253</v>
      </c>
      <c r="R5" s="2">
        <v>45540</v>
      </c>
      <c r="S5" s="1">
        <v>1.02</v>
      </c>
      <c r="T5" s="1">
        <v>45.7</v>
      </c>
      <c r="U5" s="1" t="s">
        <v>315</v>
      </c>
      <c r="V5" s="1" t="s">
        <v>104</v>
      </c>
      <c r="W5" s="1" t="s">
        <v>161</v>
      </c>
      <c r="X5" s="1" t="s">
        <v>253</v>
      </c>
      <c r="Y5" s="2">
        <v>45547</v>
      </c>
      <c r="Z5" s="1">
        <v>1.02</v>
      </c>
      <c r="AA5" s="17" t="s">
        <v>253</v>
      </c>
      <c r="AB5" s="9">
        <v>45554</v>
      </c>
      <c r="AC5">
        <v>0.99</v>
      </c>
      <c r="AD5" s="17" t="s">
        <v>253</v>
      </c>
      <c r="AE5" s="9">
        <v>45561</v>
      </c>
      <c r="AF5" s="18">
        <v>1.08</v>
      </c>
      <c r="AG5" s="17" t="s">
        <v>253</v>
      </c>
      <c r="AH5" s="9">
        <v>45568</v>
      </c>
      <c r="AI5" s="18">
        <v>0.94</v>
      </c>
      <c r="AJ5" s="17" t="s">
        <v>253</v>
      </c>
      <c r="AK5" s="9">
        <v>45575</v>
      </c>
      <c r="AL5" s="18">
        <v>1.07</v>
      </c>
      <c r="AM5" s="17" t="s">
        <v>253</v>
      </c>
      <c r="AN5" s="9">
        <v>45582</v>
      </c>
      <c r="AO5" s="18">
        <v>1.04</v>
      </c>
      <c r="AP5" t="s">
        <v>253</v>
      </c>
      <c r="AQ5" s="9">
        <v>45596</v>
      </c>
      <c r="AR5">
        <v>1.1200000000000001</v>
      </c>
      <c r="AS5" s="17" t="s">
        <v>253</v>
      </c>
      <c r="AT5" s="9">
        <v>45603</v>
      </c>
      <c r="AU5" s="18">
        <v>1.25</v>
      </c>
      <c r="AV5" s="17" t="s">
        <v>253</v>
      </c>
      <c r="AW5" s="9">
        <v>45610</v>
      </c>
      <c r="AX5" s="18">
        <v>1.21</v>
      </c>
      <c r="AY5" s="17" t="s">
        <v>253</v>
      </c>
      <c r="AZ5" s="9">
        <v>45617</v>
      </c>
      <c r="BA5">
        <v>1.17</v>
      </c>
      <c r="BB5" s="17" t="s">
        <v>253</v>
      </c>
      <c r="BC5" s="9">
        <v>45630</v>
      </c>
      <c r="BD5" s="18">
        <v>1.03</v>
      </c>
      <c r="BE5" s="17" t="s">
        <v>253</v>
      </c>
      <c r="BF5" s="42">
        <v>45637</v>
      </c>
      <c r="BG5" s="18">
        <v>1.07</v>
      </c>
      <c r="BH5" s="39">
        <f t="shared" si="0"/>
        <v>1.0533333333333335</v>
      </c>
      <c r="BI5" s="40">
        <f t="shared" si="1"/>
        <v>1.5576323987538885E-2</v>
      </c>
      <c r="BJ5" s="41">
        <f t="shared" si="2"/>
        <v>3.738317757009349E-2</v>
      </c>
    </row>
    <row r="6" spans="1:62" x14ac:dyDescent="0.2">
      <c r="A6" s="1" t="s">
        <v>312</v>
      </c>
      <c r="B6" s="2">
        <v>45524</v>
      </c>
      <c r="C6" s="1">
        <v>1.32</v>
      </c>
      <c r="D6" s="1">
        <v>55.1</v>
      </c>
      <c r="E6" s="1" t="s">
        <v>313</v>
      </c>
      <c r="F6" s="1" t="s">
        <v>31</v>
      </c>
      <c r="G6" s="1" t="s">
        <v>314</v>
      </c>
      <c r="J6" s="9"/>
      <c r="Q6" s="1"/>
      <c r="R6" s="2"/>
      <c r="Y6" s="2"/>
      <c r="AA6" s="17" t="s">
        <v>312</v>
      </c>
      <c r="AB6" s="9">
        <v>45554</v>
      </c>
      <c r="AC6">
        <v>1.21</v>
      </c>
      <c r="AD6" s="17" t="s">
        <v>312</v>
      </c>
      <c r="AE6" s="9">
        <v>45561</v>
      </c>
      <c r="AF6" s="18">
        <v>1.26</v>
      </c>
      <c r="AG6" s="17" t="s">
        <v>312</v>
      </c>
      <c r="AH6" s="9">
        <v>45568</v>
      </c>
      <c r="AI6" s="18">
        <v>1.36</v>
      </c>
      <c r="AJ6" s="17" t="s">
        <v>312</v>
      </c>
      <c r="AK6" s="9">
        <v>45575</v>
      </c>
      <c r="AL6" s="18">
        <v>1.5</v>
      </c>
      <c r="AM6" s="17" t="s">
        <v>312</v>
      </c>
      <c r="AN6" s="9">
        <v>45582</v>
      </c>
      <c r="AO6" s="18">
        <v>1.43</v>
      </c>
      <c r="AP6" t="s">
        <v>312</v>
      </c>
      <c r="AQ6" s="9">
        <v>45596</v>
      </c>
      <c r="AR6">
        <v>1.32</v>
      </c>
      <c r="AS6" s="17" t="s">
        <v>312</v>
      </c>
      <c r="AT6" s="9">
        <v>45603</v>
      </c>
      <c r="AU6" s="18">
        <v>1.42</v>
      </c>
      <c r="AV6" s="17" t="s">
        <v>312</v>
      </c>
      <c r="AW6" s="9">
        <v>45610</v>
      </c>
      <c r="AX6" s="18">
        <v>1.24</v>
      </c>
      <c r="AY6" s="17"/>
      <c r="AZ6" s="9"/>
      <c r="BB6" s="17" t="s">
        <v>312</v>
      </c>
      <c r="BC6" s="9">
        <v>45630</v>
      </c>
      <c r="BD6" s="18">
        <v>1.46</v>
      </c>
      <c r="BE6" s="17" t="s">
        <v>312</v>
      </c>
      <c r="BF6" s="42">
        <v>45637</v>
      </c>
      <c r="BG6" s="18">
        <v>1.5</v>
      </c>
      <c r="BH6" s="39">
        <f t="shared" si="0"/>
        <v>1.3654545454545455</v>
      </c>
      <c r="BI6" s="40">
        <f t="shared" si="1"/>
        <v>8.9696969696969678E-2</v>
      </c>
      <c r="BJ6" s="41">
        <f t="shared" si="2"/>
        <v>2.6666666666666689E-2</v>
      </c>
    </row>
    <row r="7" spans="1:62" x14ac:dyDescent="0.2">
      <c r="A7" s="1" t="s">
        <v>256</v>
      </c>
      <c r="B7" s="2">
        <v>45524</v>
      </c>
      <c r="C7" s="1">
        <v>1.02</v>
      </c>
      <c r="D7" s="1">
        <v>44.5</v>
      </c>
      <c r="E7" s="1" t="s">
        <v>347</v>
      </c>
      <c r="F7" s="1" t="s">
        <v>82</v>
      </c>
      <c r="G7" s="1" t="s">
        <v>226</v>
      </c>
      <c r="I7" t="s">
        <v>256</v>
      </c>
      <c r="J7" s="9">
        <v>45533</v>
      </c>
      <c r="K7" s="1">
        <v>0.86</v>
      </c>
      <c r="L7" s="1">
        <v>41.3</v>
      </c>
      <c r="M7" s="1" t="s">
        <v>193</v>
      </c>
      <c r="N7" s="1" t="s">
        <v>257</v>
      </c>
      <c r="O7" s="1" t="s">
        <v>258</v>
      </c>
      <c r="Q7" s="1" t="s">
        <v>256</v>
      </c>
      <c r="R7" s="2">
        <v>45540</v>
      </c>
      <c r="S7" s="1">
        <v>0.92</v>
      </c>
      <c r="T7" s="1">
        <v>37</v>
      </c>
      <c r="U7" s="1" t="s">
        <v>379</v>
      </c>
      <c r="V7" s="1" t="s">
        <v>380</v>
      </c>
      <c r="W7" s="1" t="s">
        <v>51</v>
      </c>
      <c r="X7" s="1" t="s">
        <v>256</v>
      </c>
      <c r="Y7" s="2">
        <v>45547</v>
      </c>
      <c r="Z7" s="1">
        <v>0.92</v>
      </c>
      <c r="AA7" s="17" t="s">
        <v>256</v>
      </c>
      <c r="AB7" s="9">
        <v>45554</v>
      </c>
      <c r="AC7">
        <v>0.86</v>
      </c>
      <c r="AD7" s="17" t="s">
        <v>256</v>
      </c>
      <c r="AE7" s="9">
        <v>45561</v>
      </c>
      <c r="AF7" s="18">
        <v>0.93</v>
      </c>
      <c r="AG7" s="17" t="s">
        <v>256</v>
      </c>
      <c r="AH7" s="9">
        <v>45568</v>
      </c>
      <c r="AI7" s="18">
        <v>0.89</v>
      </c>
      <c r="AJ7" s="17" t="s">
        <v>256</v>
      </c>
      <c r="AK7" s="9">
        <v>45575</v>
      </c>
      <c r="AL7" s="18">
        <v>0.88</v>
      </c>
      <c r="AM7" s="17" t="s">
        <v>256</v>
      </c>
      <c r="AN7" s="9">
        <v>45582</v>
      </c>
      <c r="AO7" s="18">
        <v>0.87</v>
      </c>
      <c r="AP7" t="s">
        <v>256</v>
      </c>
      <c r="AQ7" s="9">
        <v>45596</v>
      </c>
      <c r="AR7">
        <v>0.93</v>
      </c>
      <c r="AS7" s="17" t="s">
        <v>256</v>
      </c>
      <c r="AT7" s="9">
        <v>45603</v>
      </c>
      <c r="AU7" s="18">
        <v>0.87</v>
      </c>
      <c r="AV7" s="17" t="s">
        <v>256</v>
      </c>
      <c r="AW7" s="9">
        <v>45610</v>
      </c>
      <c r="AX7" s="18">
        <v>0.9</v>
      </c>
      <c r="AY7" s="17" t="s">
        <v>256</v>
      </c>
      <c r="AZ7" s="9">
        <v>45617</v>
      </c>
      <c r="BA7">
        <v>0.88</v>
      </c>
      <c r="BB7" s="17" t="s">
        <v>256</v>
      </c>
      <c r="BC7" s="9">
        <v>45630</v>
      </c>
      <c r="BD7" s="18">
        <v>0.93</v>
      </c>
      <c r="BE7" s="17" t="s">
        <v>256</v>
      </c>
      <c r="BF7" s="42">
        <v>45637</v>
      </c>
      <c r="BG7" s="18">
        <v>0.91</v>
      </c>
      <c r="BH7" s="39">
        <f t="shared" si="0"/>
        <v>0.90466666666666662</v>
      </c>
      <c r="BI7" s="40">
        <f t="shared" si="1"/>
        <v>5.8608058608059475E-3</v>
      </c>
      <c r="BJ7" s="41">
        <f t="shared" si="2"/>
        <v>-2.1978021978021997E-2</v>
      </c>
    </row>
    <row r="8" spans="1:62" x14ac:dyDescent="0.2">
      <c r="A8" s="1" t="s">
        <v>52</v>
      </c>
      <c r="B8" s="2">
        <v>45524</v>
      </c>
      <c r="C8" s="1">
        <v>0.89</v>
      </c>
      <c r="D8" s="1">
        <v>48.7</v>
      </c>
      <c r="E8" s="1" t="s">
        <v>322</v>
      </c>
      <c r="F8" s="1" t="s">
        <v>323</v>
      </c>
      <c r="G8" s="1" t="s">
        <v>324</v>
      </c>
      <c r="I8" t="s">
        <v>52</v>
      </c>
      <c r="J8" s="9">
        <v>45533</v>
      </c>
      <c r="K8" s="1">
        <v>0.81</v>
      </c>
      <c r="L8" s="1">
        <v>44.4</v>
      </c>
      <c r="M8" s="1" t="s">
        <v>266</v>
      </c>
      <c r="N8" s="1" t="s">
        <v>16</v>
      </c>
      <c r="O8" s="1" t="s">
        <v>267</v>
      </c>
      <c r="Q8" s="1" t="s">
        <v>52</v>
      </c>
      <c r="R8" s="2">
        <v>45540</v>
      </c>
      <c r="S8" s="1">
        <v>0.82</v>
      </c>
      <c r="T8" s="1">
        <v>45.5</v>
      </c>
      <c r="U8" s="1" t="s">
        <v>22</v>
      </c>
      <c r="V8" s="1" t="s">
        <v>381</v>
      </c>
      <c r="W8" s="1" t="s">
        <v>382</v>
      </c>
      <c r="X8" s="1" t="s">
        <v>52</v>
      </c>
      <c r="Y8" s="2">
        <v>45547</v>
      </c>
      <c r="Z8" s="1">
        <v>0.97</v>
      </c>
      <c r="AA8" s="17" t="s">
        <v>52</v>
      </c>
      <c r="AB8" s="9">
        <v>45554</v>
      </c>
      <c r="AC8">
        <v>0.94</v>
      </c>
      <c r="AD8" s="17" t="s">
        <v>52</v>
      </c>
      <c r="AE8" s="9">
        <v>45561</v>
      </c>
      <c r="AF8" s="18">
        <v>0.96</v>
      </c>
      <c r="AG8" s="17" t="s">
        <v>52</v>
      </c>
      <c r="AH8" s="9">
        <v>45568</v>
      </c>
      <c r="AI8" s="18">
        <v>0.92</v>
      </c>
      <c r="AJ8" s="17" t="s">
        <v>52</v>
      </c>
      <c r="AK8" s="9">
        <v>45575</v>
      </c>
      <c r="AL8" s="18">
        <v>0.98</v>
      </c>
      <c r="AM8" s="17" t="s">
        <v>52</v>
      </c>
      <c r="AN8" s="9">
        <v>45582</v>
      </c>
      <c r="AO8" s="18">
        <v>0.89</v>
      </c>
      <c r="AP8" t="s">
        <v>52</v>
      </c>
      <c r="AQ8" s="9">
        <v>45596</v>
      </c>
      <c r="AR8">
        <v>0.88</v>
      </c>
      <c r="AS8" s="17" t="s">
        <v>52</v>
      </c>
      <c r="AT8" s="9">
        <v>45603</v>
      </c>
      <c r="AU8" s="18">
        <v>1.03</v>
      </c>
      <c r="AV8" s="17" t="s">
        <v>52</v>
      </c>
      <c r="AW8" s="9">
        <v>45610</v>
      </c>
      <c r="AX8" s="18">
        <v>1</v>
      </c>
      <c r="AY8" s="17" t="s">
        <v>52</v>
      </c>
      <c r="AZ8" s="9">
        <v>45617</v>
      </c>
      <c r="BA8">
        <v>1</v>
      </c>
      <c r="BB8" s="17" t="s">
        <v>52</v>
      </c>
      <c r="BC8" s="9">
        <v>45630</v>
      </c>
      <c r="BD8" s="18">
        <v>1.08</v>
      </c>
      <c r="BE8" s="17" t="s">
        <v>52</v>
      </c>
      <c r="BF8" s="42">
        <v>45636</v>
      </c>
      <c r="BG8" s="18">
        <v>1.08</v>
      </c>
      <c r="BH8" s="39">
        <f t="shared" si="0"/>
        <v>0.95</v>
      </c>
      <c r="BI8" s="40">
        <f t="shared" si="1"/>
        <v>0.12037037037037047</v>
      </c>
      <c r="BJ8" s="41">
        <f t="shared" si="2"/>
        <v>0</v>
      </c>
    </row>
    <row r="9" spans="1:62" x14ac:dyDescent="0.2">
      <c r="A9" s="1" t="s">
        <v>135</v>
      </c>
      <c r="B9" s="2">
        <v>45524</v>
      </c>
      <c r="C9" s="1">
        <v>0.65</v>
      </c>
      <c r="D9" s="1">
        <v>38.9</v>
      </c>
      <c r="E9" s="1" t="s">
        <v>184</v>
      </c>
      <c r="F9" s="1" t="s">
        <v>314</v>
      </c>
      <c r="G9" s="1" t="s">
        <v>371</v>
      </c>
      <c r="I9" t="s">
        <v>135</v>
      </c>
      <c r="J9" s="9">
        <v>45533</v>
      </c>
      <c r="K9" s="1">
        <v>0.6</v>
      </c>
      <c r="L9" s="1">
        <v>37.700000000000003</v>
      </c>
      <c r="M9" s="1" t="s">
        <v>300</v>
      </c>
      <c r="N9" s="1" t="s">
        <v>301</v>
      </c>
      <c r="O9" s="1" t="s">
        <v>100</v>
      </c>
      <c r="Q9" s="1" t="s">
        <v>135</v>
      </c>
      <c r="R9" s="2">
        <v>45540</v>
      </c>
      <c r="S9" s="1">
        <v>0.65</v>
      </c>
      <c r="T9" s="1">
        <v>36.200000000000003</v>
      </c>
      <c r="U9" s="1" t="s">
        <v>383</v>
      </c>
      <c r="V9" s="1" t="s">
        <v>104</v>
      </c>
      <c r="W9" s="1" t="s">
        <v>384</v>
      </c>
      <c r="X9" s="1" t="s">
        <v>135</v>
      </c>
      <c r="Y9" s="2">
        <v>45547</v>
      </c>
      <c r="Z9" s="1">
        <v>0.66</v>
      </c>
      <c r="AA9" s="17" t="s">
        <v>135</v>
      </c>
      <c r="AB9" s="9">
        <v>45554</v>
      </c>
      <c r="AC9">
        <v>0.69</v>
      </c>
      <c r="AD9" s="17" t="s">
        <v>135</v>
      </c>
      <c r="AE9" s="9">
        <v>45561</v>
      </c>
      <c r="AF9" s="18">
        <v>0.69</v>
      </c>
      <c r="AG9" s="17" t="s">
        <v>135</v>
      </c>
      <c r="AH9" s="9">
        <v>45568</v>
      </c>
      <c r="AI9" s="18">
        <v>0.7</v>
      </c>
      <c r="AJ9" s="17" t="s">
        <v>135</v>
      </c>
      <c r="AK9" s="9">
        <v>45575</v>
      </c>
      <c r="AL9" s="18">
        <v>0.76</v>
      </c>
      <c r="AM9" s="17" t="s">
        <v>135</v>
      </c>
      <c r="AN9" s="9">
        <v>45582</v>
      </c>
      <c r="AO9" s="18">
        <v>0.65</v>
      </c>
      <c r="AP9" t="s">
        <v>135</v>
      </c>
      <c r="AQ9" s="9">
        <v>45596</v>
      </c>
      <c r="AR9">
        <v>0.67</v>
      </c>
      <c r="AS9" s="17" t="s">
        <v>135</v>
      </c>
      <c r="AT9" s="9">
        <v>45603</v>
      </c>
      <c r="AU9" s="18">
        <v>0.71</v>
      </c>
      <c r="AV9" s="17" t="s">
        <v>135</v>
      </c>
      <c r="AW9" s="9">
        <v>45610</v>
      </c>
      <c r="AX9" s="18">
        <v>0.64</v>
      </c>
      <c r="AY9" s="17" t="s">
        <v>135</v>
      </c>
      <c r="AZ9" s="9">
        <v>45617</v>
      </c>
      <c r="BA9">
        <v>0.68</v>
      </c>
      <c r="BB9" s="17" t="s">
        <v>135</v>
      </c>
      <c r="BC9" s="9">
        <v>45630</v>
      </c>
      <c r="BD9" s="18">
        <v>0.77</v>
      </c>
      <c r="BE9" s="17" t="s">
        <v>135</v>
      </c>
      <c r="BF9" s="42">
        <v>45637</v>
      </c>
      <c r="BG9" s="18">
        <v>0.8</v>
      </c>
      <c r="BH9" s="39">
        <f t="shared" si="0"/>
        <v>0.68800000000000006</v>
      </c>
      <c r="BI9" s="40">
        <f t="shared" si="1"/>
        <v>0.13999999999999999</v>
      </c>
      <c r="BJ9" s="41">
        <f t="shared" si="2"/>
        <v>3.7500000000000033E-2</v>
      </c>
    </row>
    <row r="10" spans="1:62" x14ac:dyDescent="0.2">
      <c r="A10" s="1" t="s">
        <v>127</v>
      </c>
      <c r="B10" s="2">
        <v>45524</v>
      </c>
      <c r="C10" s="1">
        <v>0.55000000000000004</v>
      </c>
      <c r="D10" s="1">
        <v>34</v>
      </c>
      <c r="E10" s="1" t="s">
        <v>368</v>
      </c>
      <c r="F10" s="1" t="s">
        <v>369</v>
      </c>
      <c r="G10" s="1" t="s">
        <v>370</v>
      </c>
      <c r="I10" t="s">
        <v>127</v>
      </c>
      <c r="J10" s="9">
        <v>45533</v>
      </c>
      <c r="K10" s="1">
        <v>0.55000000000000004</v>
      </c>
      <c r="L10" s="1">
        <v>30.5</v>
      </c>
      <c r="M10" s="1" t="s">
        <v>291</v>
      </c>
      <c r="N10" s="1" t="s">
        <v>292</v>
      </c>
      <c r="O10" s="1" t="s">
        <v>293</v>
      </c>
      <c r="Q10" s="1" t="s">
        <v>127</v>
      </c>
      <c r="R10" s="2">
        <v>45540</v>
      </c>
      <c r="S10" s="1">
        <v>0.66</v>
      </c>
      <c r="T10" s="1">
        <v>28.9</v>
      </c>
      <c r="U10" s="1" t="s">
        <v>129</v>
      </c>
      <c r="V10" s="1" t="s">
        <v>385</v>
      </c>
      <c r="W10" s="1" t="s">
        <v>386</v>
      </c>
      <c r="X10" s="1" t="s">
        <v>127</v>
      </c>
      <c r="Y10" s="2">
        <v>45547</v>
      </c>
      <c r="Z10" s="1">
        <v>0.61</v>
      </c>
      <c r="AA10" s="17"/>
      <c r="AD10" s="17" t="s">
        <v>127</v>
      </c>
      <c r="AE10" s="9">
        <v>45561</v>
      </c>
      <c r="AF10" s="18">
        <v>0.66</v>
      </c>
      <c r="AG10" s="17" t="s">
        <v>127</v>
      </c>
      <c r="AH10" s="9">
        <v>45568</v>
      </c>
      <c r="AI10" s="18">
        <v>0.69</v>
      </c>
      <c r="AJ10" s="17" t="s">
        <v>127</v>
      </c>
      <c r="AK10" s="9">
        <v>45575</v>
      </c>
      <c r="AL10" s="18">
        <v>0.64</v>
      </c>
      <c r="AM10" s="17" t="s">
        <v>127</v>
      </c>
      <c r="AN10" s="9">
        <v>45582</v>
      </c>
      <c r="AO10" s="18">
        <v>0.53</v>
      </c>
      <c r="AP10" t="s">
        <v>127</v>
      </c>
      <c r="AQ10" s="9">
        <v>45596</v>
      </c>
      <c r="AR10">
        <v>0.61</v>
      </c>
      <c r="AS10" s="17" t="s">
        <v>127</v>
      </c>
      <c r="AT10" s="9">
        <v>45603</v>
      </c>
      <c r="AU10" s="18">
        <v>0.6</v>
      </c>
      <c r="AV10" s="17" t="s">
        <v>127</v>
      </c>
      <c r="AW10" s="9">
        <v>45610</v>
      </c>
      <c r="AX10" s="18">
        <v>0.62</v>
      </c>
      <c r="AY10" s="17" t="s">
        <v>127</v>
      </c>
      <c r="AZ10" s="9">
        <v>45617</v>
      </c>
      <c r="BA10">
        <v>0.6</v>
      </c>
      <c r="BB10" s="17" t="s">
        <v>127</v>
      </c>
      <c r="BC10" s="9">
        <v>45630</v>
      </c>
      <c r="BD10" s="18">
        <v>0.65</v>
      </c>
      <c r="BE10" s="17" t="s">
        <v>127</v>
      </c>
      <c r="BF10" s="42">
        <v>45637</v>
      </c>
      <c r="BG10" s="18">
        <v>0.6</v>
      </c>
      <c r="BH10" s="39">
        <f t="shared" si="0"/>
        <v>0.61214285714285721</v>
      </c>
      <c r="BI10" s="40">
        <f t="shared" si="1"/>
        <v>-2.0238095238095388E-2</v>
      </c>
      <c r="BJ10" s="41">
        <f t="shared" si="2"/>
        <v>-8.3333333333333412E-2</v>
      </c>
    </row>
    <row r="11" spans="1:62" x14ac:dyDescent="0.2">
      <c r="A11" s="1" t="s">
        <v>72</v>
      </c>
      <c r="B11" s="2">
        <v>45524</v>
      </c>
      <c r="C11" s="1">
        <v>0.98</v>
      </c>
      <c r="D11" s="1">
        <v>36.9</v>
      </c>
      <c r="E11" s="1" t="s">
        <v>315</v>
      </c>
      <c r="F11" s="1" t="s">
        <v>143</v>
      </c>
      <c r="G11" s="1" t="s">
        <v>316</v>
      </c>
      <c r="I11" t="s">
        <v>72</v>
      </c>
      <c r="J11" s="9">
        <v>45533</v>
      </c>
      <c r="K11" s="1">
        <v>0.92</v>
      </c>
      <c r="L11" s="1">
        <v>33.9</v>
      </c>
      <c r="M11" s="1" t="s">
        <v>193</v>
      </c>
      <c r="N11" s="1" t="s">
        <v>289</v>
      </c>
      <c r="O11" s="1" t="s">
        <v>245</v>
      </c>
      <c r="Q11" s="1" t="s">
        <v>72</v>
      </c>
      <c r="R11" s="2">
        <v>45540</v>
      </c>
      <c r="S11" s="1">
        <v>1.03</v>
      </c>
      <c r="T11" s="1">
        <v>35.700000000000003</v>
      </c>
      <c r="U11" s="1" t="s">
        <v>122</v>
      </c>
      <c r="V11" s="1" t="s">
        <v>387</v>
      </c>
      <c r="W11" s="1" t="s">
        <v>104</v>
      </c>
      <c r="X11" s="1" t="s">
        <v>72</v>
      </c>
      <c r="Y11" s="2">
        <v>45547</v>
      </c>
      <c r="Z11" s="1">
        <v>1.07</v>
      </c>
      <c r="AA11" s="17" t="s">
        <v>72</v>
      </c>
      <c r="AB11" s="9">
        <v>45554</v>
      </c>
      <c r="AC11">
        <v>1.0900000000000001</v>
      </c>
      <c r="AD11" s="17" t="s">
        <v>72</v>
      </c>
      <c r="AE11" s="9">
        <v>45561</v>
      </c>
      <c r="AF11" s="18">
        <v>1.05</v>
      </c>
      <c r="AG11" s="17" t="s">
        <v>72</v>
      </c>
      <c r="AH11" s="9">
        <v>45568</v>
      </c>
      <c r="AI11" s="18">
        <v>1.08</v>
      </c>
      <c r="AJ11" s="17" t="s">
        <v>72</v>
      </c>
      <c r="AK11" s="9">
        <v>45575</v>
      </c>
      <c r="AL11" s="18">
        <v>1.03</v>
      </c>
      <c r="AM11" s="17" t="s">
        <v>72</v>
      </c>
      <c r="AN11" s="9">
        <v>45582</v>
      </c>
      <c r="AO11" s="18">
        <v>1.08</v>
      </c>
      <c r="AP11" t="s">
        <v>72</v>
      </c>
      <c r="AQ11" s="9">
        <v>45596</v>
      </c>
      <c r="AR11">
        <v>0.98</v>
      </c>
      <c r="AS11" s="17" t="s">
        <v>72</v>
      </c>
      <c r="AT11" s="9">
        <v>45603</v>
      </c>
      <c r="AU11" s="18">
        <v>0.95</v>
      </c>
      <c r="AV11" s="17" t="s">
        <v>72</v>
      </c>
      <c r="AW11" s="9">
        <v>45610</v>
      </c>
      <c r="AX11" s="18">
        <v>1.05</v>
      </c>
      <c r="AY11" s="17" t="s">
        <v>72</v>
      </c>
      <c r="AZ11" s="9">
        <v>45617</v>
      </c>
      <c r="BA11">
        <v>1.17</v>
      </c>
      <c r="BB11" s="17" t="s">
        <v>72</v>
      </c>
      <c r="BC11" s="9">
        <v>45630</v>
      </c>
      <c r="BD11" s="18">
        <v>1.1100000000000001</v>
      </c>
      <c r="BE11" s="17" t="s">
        <v>72</v>
      </c>
      <c r="BF11" s="42">
        <v>45637</v>
      </c>
      <c r="BG11" s="18">
        <v>0.97</v>
      </c>
      <c r="BH11" s="39">
        <f t="shared" si="0"/>
        <v>1.0373333333333334</v>
      </c>
      <c r="BI11" s="40">
        <f t="shared" si="1"/>
        <v>-6.9415807560137599E-2</v>
      </c>
      <c r="BJ11" s="41">
        <f t="shared" si="2"/>
        <v>-0.14432989690721662</v>
      </c>
    </row>
    <row r="12" spans="1:62" x14ac:dyDescent="0.2">
      <c r="A12" s="1" t="s">
        <v>36</v>
      </c>
      <c r="B12" s="2">
        <v>45524</v>
      </c>
      <c r="C12" s="1">
        <v>0.86</v>
      </c>
      <c r="D12" s="1">
        <v>50.6</v>
      </c>
      <c r="E12" s="1" t="s">
        <v>331</v>
      </c>
      <c r="F12" s="1" t="s">
        <v>332</v>
      </c>
      <c r="G12" s="1" t="s">
        <v>333</v>
      </c>
      <c r="I12" t="s">
        <v>36</v>
      </c>
      <c r="J12" s="9">
        <v>45533</v>
      </c>
      <c r="K12" s="1">
        <v>0.9</v>
      </c>
      <c r="L12" s="1">
        <v>50</v>
      </c>
      <c r="M12" s="1" t="s">
        <v>90</v>
      </c>
      <c r="N12" s="1" t="s">
        <v>233</v>
      </c>
      <c r="O12" s="1" t="s">
        <v>234</v>
      </c>
      <c r="Q12" s="1" t="s">
        <v>36</v>
      </c>
      <c r="R12" s="2">
        <v>45540</v>
      </c>
      <c r="S12" s="1">
        <v>0.82</v>
      </c>
      <c r="T12" s="1">
        <v>49</v>
      </c>
      <c r="U12" s="1" t="s">
        <v>195</v>
      </c>
      <c r="V12" s="1" t="s">
        <v>388</v>
      </c>
      <c r="W12" s="1" t="s">
        <v>389</v>
      </c>
      <c r="X12" s="1" t="s">
        <v>36</v>
      </c>
      <c r="Y12" s="2">
        <v>45547</v>
      </c>
      <c r="Z12" s="1">
        <v>0.85</v>
      </c>
      <c r="AA12" s="17" t="s">
        <v>36</v>
      </c>
      <c r="AB12" s="9">
        <v>45554</v>
      </c>
      <c r="AC12">
        <v>0.9</v>
      </c>
      <c r="AD12" s="17" t="s">
        <v>36</v>
      </c>
      <c r="AE12" s="9">
        <v>45561</v>
      </c>
      <c r="AF12" s="18">
        <v>0.91</v>
      </c>
      <c r="AG12" s="17"/>
      <c r="AH12" s="9"/>
      <c r="AI12" s="18"/>
      <c r="AJ12" s="17"/>
      <c r="AK12" s="9"/>
      <c r="AL12" s="18"/>
      <c r="AM12" s="17"/>
      <c r="AN12" s="9"/>
      <c r="AO12" s="18"/>
      <c r="AQ12" s="9"/>
      <c r="AS12" s="17"/>
      <c r="AT12" s="9"/>
      <c r="AU12" s="18"/>
      <c r="AV12" s="17"/>
      <c r="AW12" s="9"/>
      <c r="AX12" s="18"/>
      <c r="AY12" s="17"/>
      <c r="AZ12" s="9"/>
      <c r="BB12" s="17"/>
      <c r="BC12" s="9"/>
      <c r="BD12" s="18"/>
      <c r="BE12" s="17"/>
      <c r="BF12" s="38"/>
      <c r="BG12" s="18"/>
      <c r="BH12" s="39">
        <f t="shared" si="0"/>
        <v>0.87333333333333341</v>
      </c>
      <c r="BI12" s="40" t="e">
        <f t="shared" si="1"/>
        <v>#DIV/0!</v>
      </c>
      <c r="BJ12" s="41" t="e">
        <f t="shared" si="2"/>
        <v>#DIV/0!</v>
      </c>
    </row>
    <row r="13" spans="1:62" x14ac:dyDescent="0.2">
      <c r="A13" s="1" t="s">
        <v>116</v>
      </c>
      <c r="B13" s="2">
        <v>45524</v>
      </c>
      <c r="C13" s="1">
        <v>0.83</v>
      </c>
      <c r="D13" s="1">
        <v>42.7</v>
      </c>
      <c r="E13" s="1" t="s">
        <v>271</v>
      </c>
      <c r="F13" s="1" t="s">
        <v>351</v>
      </c>
      <c r="G13" s="1" t="s">
        <v>352</v>
      </c>
      <c r="I13" t="s">
        <v>116</v>
      </c>
      <c r="J13" s="9">
        <v>45533</v>
      </c>
      <c r="K13" s="1">
        <v>0.84</v>
      </c>
      <c r="L13" s="1">
        <v>39.700000000000003</v>
      </c>
      <c r="M13" s="1" t="s">
        <v>186</v>
      </c>
      <c r="N13" s="1" t="s">
        <v>54</v>
      </c>
      <c r="O13" s="1" t="s">
        <v>232</v>
      </c>
      <c r="Q13" s="1" t="s">
        <v>116</v>
      </c>
      <c r="R13" s="2">
        <v>45540</v>
      </c>
      <c r="S13" s="1">
        <v>0.81</v>
      </c>
      <c r="T13" s="1">
        <v>41.4</v>
      </c>
      <c r="U13" s="1" t="s">
        <v>142</v>
      </c>
      <c r="V13" s="1" t="s">
        <v>335</v>
      </c>
      <c r="W13" s="1" t="s">
        <v>344</v>
      </c>
      <c r="X13" s="1" t="s">
        <v>116</v>
      </c>
      <c r="Y13" s="2">
        <v>45547</v>
      </c>
      <c r="Z13" s="1">
        <v>0.84</v>
      </c>
      <c r="AA13" s="17" t="s">
        <v>116</v>
      </c>
      <c r="AB13" s="9">
        <v>45554</v>
      </c>
      <c r="AC13">
        <v>0.83</v>
      </c>
      <c r="AD13" s="17" t="s">
        <v>116</v>
      </c>
      <c r="AE13" s="9">
        <v>45561</v>
      </c>
      <c r="AF13" s="18">
        <v>0.78</v>
      </c>
      <c r="AG13" s="17" t="s">
        <v>116</v>
      </c>
      <c r="AH13" s="9">
        <v>45568</v>
      </c>
      <c r="AI13" s="18">
        <v>0.74</v>
      </c>
      <c r="AJ13" s="17" t="s">
        <v>116</v>
      </c>
      <c r="AK13" s="9">
        <v>45575</v>
      </c>
      <c r="AL13" s="18">
        <v>0.88</v>
      </c>
      <c r="AM13" s="17" t="s">
        <v>116</v>
      </c>
      <c r="AN13" s="9">
        <v>45582</v>
      </c>
      <c r="AO13" s="18">
        <v>0.81</v>
      </c>
      <c r="AP13" t="s">
        <v>116</v>
      </c>
      <c r="AQ13" s="9">
        <v>45596</v>
      </c>
      <c r="AR13">
        <v>0.85</v>
      </c>
      <c r="AS13" s="17" t="s">
        <v>116</v>
      </c>
      <c r="AT13" s="9">
        <v>45603</v>
      </c>
      <c r="AU13" s="18">
        <v>0.8</v>
      </c>
      <c r="AV13" s="17" t="s">
        <v>116</v>
      </c>
      <c r="AW13" s="9">
        <v>45610</v>
      </c>
      <c r="AX13" s="18">
        <v>0.82</v>
      </c>
      <c r="AY13" s="17" t="s">
        <v>116</v>
      </c>
      <c r="AZ13" s="9">
        <v>45617</v>
      </c>
      <c r="BA13">
        <v>0.81</v>
      </c>
      <c r="BB13" s="17" t="s">
        <v>116</v>
      </c>
      <c r="BC13" s="9">
        <v>45630</v>
      </c>
      <c r="BD13" s="18">
        <v>0.77</v>
      </c>
      <c r="BE13" s="17" t="s">
        <v>116</v>
      </c>
      <c r="BF13" s="42">
        <v>45637</v>
      </c>
      <c r="BG13" s="18">
        <v>0.8</v>
      </c>
      <c r="BH13" s="39">
        <f t="shared" si="0"/>
        <v>0.81400000000000006</v>
      </c>
      <c r="BI13" s="40">
        <f t="shared" si="1"/>
        <v>-1.7500000000000016E-2</v>
      </c>
      <c r="BJ13" s="41">
        <f t="shared" si="2"/>
        <v>3.7500000000000033E-2</v>
      </c>
    </row>
    <row r="14" spans="1:62" x14ac:dyDescent="0.2">
      <c r="B14" s="2"/>
      <c r="J14" s="9"/>
      <c r="Q14" s="1"/>
      <c r="R14" s="2"/>
      <c r="Y14" s="2"/>
      <c r="AA14" s="17" t="s">
        <v>430</v>
      </c>
      <c r="AB14" s="9">
        <v>45554</v>
      </c>
      <c r="AC14">
        <v>0.61</v>
      </c>
      <c r="AD14" s="17" t="s">
        <v>430</v>
      </c>
      <c r="AE14" s="9">
        <v>45561</v>
      </c>
      <c r="AF14" s="18">
        <v>0.56000000000000005</v>
      </c>
      <c r="AG14" s="17" t="s">
        <v>430</v>
      </c>
      <c r="AH14" s="9">
        <v>45568</v>
      </c>
      <c r="AI14" s="18">
        <v>0.53</v>
      </c>
      <c r="AJ14" s="17" t="s">
        <v>430</v>
      </c>
      <c r="AK14" s="9">
        <v>45575</v>
      </c>
      <c r="AL14" s="18">
        <v>0.6</v>
      </c>
      <c r="AM14" s="17" t="s">
        <v>430</v>
      </c>
      <c r="AN14" s="9">
        <v>45582</v>
      </c>
      <c r="AO14" s="18">
        <v>0.69</v>
      </c>
      <c r="AP14" t="s">
        <v>430</v>
      </c>
      <c r="AQ14" s="9">
        <v>45596</v>
      </c>
      <c r="AR14">
        <v>0.56000000000000005</v>
      </c>
      <c r="AS14" s="17" t="s">
        <v>430</v>
      </c>
      <c r="AT14" s="9">
        <v>45603</v>
      </c>
      <c r="AU14" s="18">
        <v>0.8</v>
      </c>
      <c r="AV14" s="17" t="s">
        <v>430</v>
      </c>
      <c r="AW14" s="9">
        <v>45610</v>
      </c>
      <c r="AX14" s="18">
        <v>0.73</v>
      </c>
      <c r="AY14" s="17" t="s">
        <v>430</v>
      </c>
      <c r="AZ14" s="9">
        <v>45617</v>
      </c>
      <c r="BA14">
        <v>0.79</v>
      </c>
      <c r="BB14" s="17" t="s">
        <v>430</v>
      </c>
      <c r="BC14" s="9">
        <v>45630</v>
      </c>
      <c r="BD14" s="18">
        <v>0.5</v>
      </c>
      <c r="BE14" s="17"/>
      <c r="BF14" s="38"/>
      <c r="BG14" s="18"/>
      <c r="BH14" s="39">
        <f t="shared" si="0"/>
        <v>0.63700000000000001</v>
      </c>
      <c r="BI14" s="40" t="e">
        <f t="shared" si="1"/>
        <v>#DIV/0!</v>
      </c>
      <c r="BJ14" s="41" t="e">
        <f t="shared" si="2"/>
        <v>#DIV/0!</v>
      </c>
    </row>
    <row r="15" spans="1:62" x14ac:dyDescent="0.2">
      <c r="A15" s="1" t="s">
        <v>259</v>
      </c>
      <c r="B15" s="2">
        <v>45524</v>
      </c>
      <c r="C15" s="1">
        <v>0.6</v>
      </c>
      <c r="D15" s="1">
        <v>31.9</v>
      </c>
      <c r="E15" s="1" t="s">
        <v>141</v>
      </c>
      <c r="F15" s="1" t="s">
        <v>366</v>
      </c>
      <c r="G15" s="1" t="s">
        <v>367</v>
      </c>
      <c r="I15" t="s">
        <v>259</v>
      </c>
      <c r="J15" s="9">
        <v>45533</v>
      </c>
      <c r="K15" s="1">
        <v>0.6</v>
      </c>
      <c r="L15" s="1">
        <v>33.700000000000003</v>
      </c>
      <c r="M15" s="1" t="s">
        <v>260</v>
      </c>
      <c r="N15" s="1" t="s">
        <v>261</v>
      </c>
      <c r="O15" s="1" t="s">
        <v>262</v>
      </c>
      <c r="Q15" s="1" t="s">
        <v>259</v>
      </c>
      <c r="R15" s="2">
        <v>45540</v>
      </c>
      <c r="S15" s="1">
        <v>0.59</v>
      </c>
      <c r="T15" s="1">
        <v>35.6</v>
      </c>
      <c r="U15" s="1" t="s">
        <v>390</v>
      </c>
      <c r="V15" s="1" t="s">
        <v>391</v>
      </c>
      <c r="W15" s="1" t="s">
        <v>214</v>
      </c>
      <c r="X15" s="1" t="s">
        <v>259</v>
      </c>
      <c r="Y15" s="2">
        <v>45547</v>
      </c>
      <c r="Z15" s="1">
        <v>0.66</v>
      </c>
      <c r="AA15" s="17" t="s">
        <v>259</v>
      </c>
      <c r="AB15" s="9">
        <v>45554</v>
      </c>
      <c r="AC15">
        <v>0.68</v>
      </c>
      <c r="AD15" s="17" t="s">
        <v>259</v>
      </c>
      <c r="AE15" s="9">
        <v>45561</v>
      </c>
      <c r="AF15" s="18">
        <v>0.63</v>
      </c>
      <c r="AG15" s="17" t="s">
        <v>259</v>
      </c>
      <c r="AH15" s="9">
        <v>45568</v>
      </c>
      <c r="AI15" s="18">
        <v>0.56999999999999995</v>
      </c>
      <c r="AJ15" s="17" t="s">
        <v>259</v>
      </c>
      <c r="AK15" s="9">
        <v>45575</v>
      </c>
      <c r="AL15" s="18">
        <v>0.65</v>
      </c>
      <c r="AM15" s="17" t="s">
        <v>259</v>
      </c>
      <c r="AN15" s="9">
        <v>45582</v>
      </c>
      <c r="AO15" s="18">
        <v>0.64</v>
      </c>
      <c r="AP15" t="s">
        <v>259</v>
      </c>
      <c r="AQ15" s="9">
        <v>45596</v>
      </c>
      <c r="AR15">
        <v>0.62</v>
      </c>
      <c r="AS15" s="17" t="s">
        <v>259</v>
      </c>
      <c r="AT15" s="9">
        <v>45603</v>
      </c>
      <c r="AU15" s="18">
        <v>0.61</v>
      </c>
      <c r="AV15" s="17" t="s">
        <v>259</v>
      </c>
      <c r="AW15" s="9">
        <v>45610</v>
      </c>
      <c r="AX15" s="18">
        <v>0.51</v>
      </c>
      <c r="AY15" s="17" t="s">
        <v>259</v>
      </c>
      <c r="AZ15" s="9">
        <v>45617</v>
      </c>
      <c r="BA15">
        <v>0.65</v>
      </c>
      <c r="BB15" s="17" t="s">
        <v>259</v>
      </c>
      <c r="BC15" s="9">
        <v>45630</v>
      </c>
      <c r="BD15" s="18">
        <v>0.77</v>
      </c>
      <c r="BE15" s="17" t="s">
        <v>259</v>
      </c>
      <c r="BF15" s="42">
        <v>45637</v>
      </c>
      <c r="BG15" s="18">
        <v>0.64</v>
      </c>
      <c r="BH15" s="39">
        <f t="shared" si="0"/>
        <v>0.628</v>
      </c>
      <c r="BI15" s="40">
        <f t="shared" si="1"/>
        <v>1.8750000000000017E-2</v>
      </c>
      <c r="BJ15" s="41">
        <f t="shared" si="2"/>
        <v>-0.203125</v>
      </c>
    </row>
    <row r="16" spans="1:62" x14ac:dyDescent="0.2">
      <c r="B16" s="2"/>
      <c r="D16" s="1">
        <v>49.7</v>
      </c>
      <c r="E16" s="1" t="s">
        <v>320</v>
      </c>
      <c r="F16" s="1" t="s">
        <v>320</v>
      </c>
      <c r="G16" s="1" t="s">
        <v>321</v>
      </c>
      <c r="I16" t="s">
        <v>68</v>
      </c>
      <c r="J16" s="9">
        <v>45533</v>
      </c>
      <c r="K16" s="1">
        <v>0.85</v>
      </c>
      <c r="L16" s="1">
        <v>48.5</v>
      </c>
      <c r="M16" s="1" t="s">
        <v>163</v>
      </c>
      <c r="N16" s="1" t="s">
        <v>302</v>
      </c>
      <c r="O16" s="1" t="s">
        <v>163</v>
      </c>
      <c r="Q16" s="1" t="s">
        <v>68</v>
      </c>
      <c r="R16" s="2">
        <v>45540</v>
      </c>
      <c r="S16" s="1">
        <v>0.88</v>
      </c>
      <c r="T16" s="1">
        <v>43.8</v>
      </c>
      <c r="U16" s="1" t="s">
        <v>204</v>
      </c>
      <c r="V16" s="1" t="s">
        <v>286</v>
      </c>
      <c r="W16" s="1" t="s">
        <v>392</v>
      </c>
      <c r="X16" s="1" t="s">
        <v>68</v>
      </c>
      <c r="Y16" s="2">
        <v>45547</v>
      </c>
      <c r="Z16" s="1">
        <v>0.92</v>
      </c>
      <c r="AA16" s="17"/>
      <c r="AD16" s="17"/>
      <c r="AF16" s="18"/>
      <c r="AG16" s="17"/>
      <c r="AH16" s="9"/>
      <c r="AI16" s="18"/>
      <c r="AJ16" s="17" t="s">
        <v>68</v>
      </c>
      <c r="AK16" s="9">
        <v>45575</v>
      </c>
      <c r="AL16" s="18">
        <v>0.91</v>
      </c>
      <c r="AM16" s="17" t="s">
        <v>68</v>
      </c>
      <c r="AN16" s="9">
        <v>45582</v>
      </c>
      <c r="AO16" s="18">
        <v>1</v>
      </c>
      <c r="AP16" t="s">
        <v>68</v>
      </c>
      <c r="AQ16" s="9">
        <v>45596</v>
      </c>
      <c r="AR16">
        <v>0.91</v>
      </c>
      <c r="AS16" s="17" t="s">
        <v>68</v>
      </c>
      <c r="AT16" s="9">
        <v>45603</v>
      </c>
      <c r="AU16" s="18">
        <v>0.95</v>
      </c>
      <c r="AV16" s="17"/>
      <c r="AW16" s="9"/>
      <c r="AX16" s="18"/>
      <c r="AY16" s="17" t="s">
        <v>68</v>
      </c>
      <c r="AZ16" s="9">
        <v>45617</v>
      </c>
      <c r="BA16">
        <v>1.01</v>
      </c>
      <c r="BB16" s="17" t="s">
        <v>68</v>
      </c>
      <c r="BC16" s="9">
        <v>45630</v>
      </c>
      <c r="BD16" s="18">
        <v>1.04</v>
      </c>
      <c r="BE16" s="17"/>
      <c r="BF16" s="38"/>
      <c r="BG16" s="18"/>
      <c r="BH16" s="39">
        <f t="shared" si="0"/>
        <v>0.94111111111111123</v>
      </c>
      <c r="BI16" s="40" t="e">
        <f t="shared" si="1"/>
        <v>#DIV/0!</v>
      </c>
      <c r="BJ16" s="41" t="e">
        <f t="shared" si="2"/>
        <v>#DIV/0!</v>
      </c>
    </row>
    <row r="17" spans="1:62" x14ac:dyDescent="0.2">
      <c r="A17" s="1" t="s">
        <v>13</v>
      </c>
      <c r="B17" s="2">
        <v>45524</v>
      </c>
      <c r="C17" s="1">
        <v>1.37</v>
      </c>
      <c r="D17" s="1">
        <v>50.6</v>
      </c>
      <c r="E17" s="1" t="s">
        <v>303</v>
      </c>
      <c r="F17" s="1" t="s">
        <v>304</v>
      </c>
      <c r="G17" s="1" t="s">
        <v>260</v>
      </c>
      <c r="I17" t="s">
        <v>13</v>
      </c>
      <c r="J17" s="9">
        <v>45533</v>
      </c>
      <c r="K17" s="1">
        <v>1.38</v>
      </c>
      <c r="L17" s="1">
        <v>49</v>
      </c>
      <c r="M17" s="1" t="s">
        <v>235</v>
      </c>
      <c r="N17" s="1" t="s">
        <v>236</v>
      </c>
      <c r="O17" s="1" t="s">
        <v>237</v>
      </c>
      <c r="Q17" s="1" t="s">
        <v>13</v>
      </c>
      <c r="R17" s="2">
        <v>45540</v>
      </c>
      <c r="S17" s="1">
        <v>1.25</v>
      </c>
      <c r="T17" s="1">
        <v>49.3</v>
      </c>
      <c r="U17" s="1" t="s">
        <v>272</v>
      </c>
      <c r="V17" s="1" t="s">
        <v>393</v>
      </c>
      <c r="W17" s="1" t="s">
        <v>394</v>
      </c>
      <c r="X17" s="1" t="s">
        <v>13</v>
      </c>
      <c r="Y17" s="2">
        <v>45547</v>
      </c>
      <c r="Z17" s="1">
        <v>1.31</v>
      </c>
      <c r="AA17" s="17" t="s">
        <v>13</v>
      </c>
      <c r="AB17" s="9">
        <v>45554</v>
      </c>
      <c r="AC17">
        <v>1.29</v>
      </c>
      <c r="AD17" s="17" t="s">
        <v>13</v>
      </c>
      <c r="AE17" s="9">
        <v>45561</v>
      </c>
      <c r="AF17" s="18">
        <v>1.34</v>
      </c>
      <c r="AG17" s="17" t="s">
        <v>13</v>
      </c>
      <c r="AH17" s="9">
        <v>45568</v>
      </c>
      <c r="AI17" s="18">
        <v>1.1200000000000001</v>
      </c>
      <c r="AJ17" s="17" t="s">
        <v>13</v>
      </c>
      <c r="AK17" s="9">
        <v>45575</v>
      </c>
      <c r="AL17" s="18">
        <v>1.35</v>
      </c>
      <c r="AM17" s="17" t="s">
        <v>13</v>
      </c>
      <c r="AN17" s="9">
        <v>45582</v>
      </c>
      <c r="AO17" s="18">
        <v>1.31</v>
      </c>
      <c r="AP17" t="s">
        <v>13</v>
      </c>
      <c r="AQ17" s="9">
        <v>45596</v>
      </c>
      <c r="AR17">
        <v>1.1399999999999999</v>
      </c>
      <c r="AS17" s="17" t="s">
        <v>13</v>
      </c>
      <c r="AT17" s="9">
        <v>45603</v>
      </c>
      <c r="AU17" s="18">
        <v>1.1200000000000001</v>
      </c>
      <c r="AV17" s="17" t="s">
        <v>13</v>
      </c>
      <c r="AW17" s="9">
        <v>45610</v>
      </c>
      <c r="AX17" s="18">
        <v>1.39</v>
      </c>
      <c r="AY17" s="17"/>
      <c r="AZ17" s="9"/>
      <c r="BB17" s="17" t="s">
        <v>13</v>
      </c>
      <c r="BC17" s="9">
        <v>45630</v>
      </c>
      <c r="BD17" s="18">
        <v>1.31</v>
      </c>
      <c r="BE17" s="17" t="s">
        <v>13</v>
      </c>
      <c r="BF17" s="42">
        <v>45636</v>
      </c>
      <c r="BG17" s="18">
        <v>1.52</v>
      </c>
      <c r="BH17" s="39">
        <f t="shared" si="0"/>
        <v>1.3</v>
      </c>
      <c r="BI17" s="40">
        <f t="shared" si="1"/>
        <v>0.14473684210526314</v>
      </c>
      <c r="BJ17" s="41">
        <f t="shared" si="2"/>
        <v>0.13815789473684209</v>
      </c>
    </row>
    <row r="18" spans="1:62" x14ac:dyDescent="0.2">
      <c r="A18" s="1" t="s">
        <v>25</v>
      </c>
      <c r="B18" s="2">
        <v>45524</v>
      </c>
      <c r="C18" s="1">
        <v>0.85</v>
      </c>
      <c r="D18" s="1">
        <v>46.7</v>
      </c>
      <c r="E18" s="1" t="s">
        <v>337</v>
      </c>
      <c r="F18" s="1" t="s">
        <v>149</v>
      </c>
      <c r="G18" s="1" t="s">
        <v>338</v>
      </c>
      <c r="I18" t="s">
        <v>25</v>
      </c>
      <c r="J18" s="9">
        <v>45533</v>
      </c>
      <c r="K18" s="1">
        <v>0.92</v>
      </c>
      <c r="L18" s="1">
        <v>44.6</v>
      </c>
      <c r="M18" s="1" t="s">
        <v>175</v>
      </c>
      <c r="N18" s="1" t="s">
        <v>268</v>
      </c>
      <c r="O18" s="1" t="s">
        <v>224</v>
      </c>
      <c r="Q18" s="1" t="s">
        <v>25</v>
      </c>
      <c r="R18" s="2">
        <v>45540</v>
      </c>
      <c r="S18" s="1">
        <v>1.07</v>
      </c>
      <c r="T18" s="1">
        <v>44.2</v>
      </c>
      <c r="U18" s="1" t="s">
        <v>66</v>
      </c>
      <c r="V18" s="1" t="s">
        <v>395</v>
      </c>
      <c r="W18" s="1" t="s">
        <v>233</v>
      </c>
      <c r="X18" s="1" t="s">
        <v>25</v>
      </c>
      <c r="Y18" s="2">
        <v>45547</v>
      </c>
      <c r="Z18" s="1">
        <v>1.06</v>
      </c>
      <c r="AA18" s="17"/>
      <c r="AD18" s="17"/>
      <c r="AF18" s="18"/>
      <c r="AG18" s="17"/>
      <c r="AH18" s="9"/>
      <c r="AI18" s="18"/>
      <c r="AJ18" s="17" t="s">
        <v>25</v>
      </c>
      <c r="AK18" s="9">
        <v>45575</v>
      </c>
      <c r="AL18" s="18">
        <v>1</v>
      </c>
      <c r="AM18" s="17"/>
      <c r="AN18" s="9"/>
      <c r="AO18" s="18"/>
      <c r="AP18" t="s">
        <v>25</v>
      </c>
      <c r="AQ18" s="9">
        <v>45596</v>
      </c>
      <c r="AR18">
        <v>0.87</v>
      </c>
      <c r="AS18" s="17" t="s">
        <v>25</v>
      </c>
      <c r="AT18" s="9">
        <v>45603</v>
      </c>
      <c r="AU18" s="18">
        <v>1</v>
      </c>
      <c r="AV18" s="17" t="s">
        <v>25</v>
      </c>
      <c r="AW18" s="9">
        <v>45610</v>
      </c>
      <c r="AX18" s="18">
        <v>0.93</v>
      </c>
      <c r="AY18" s="17" t="s">
        <v>25</v>
      </c>
      <c r="AZ18" s="9">
        <v>45617</v>
      </c>
      <c r="BA18">
        <v>0.92</v>
      </c>
      <c r="BB18" s="17" t="s">
        <v>25</v>
      </c>
      <c r="BC18" s="9">
        <v>45630</v>
      </c>
      <c r="BD18" s="18">
        <v>1.1499999999999999</v>
      </c>
      <c r="BE18" s="17" t="s">
        <v>25</v>
      </c>
      <c r="BF18" s="42">
        <v>45637</v>
      </c>
      <c r="BG18" s="18">
        <v>1.1000000000000001</v>
      </c>
      <c r="BH18" s="39">
        <f t="shared" si="0"/>
        <v>0.98818181818181827</v>
      </c>
      <c r="BI18" s="40">
        <f t="shared" si="1"/>
        <v>0.10165289256198345</v>
      </c>
      <c r="BJ18" s="41">
        <f t="shared" si="2"/>
        <v>-4.5454545454545289E-2</v>
      </c>
    </row>
    <row r="19" spans="1:62" x14ac:dyDescent="0.2">
      <c r="A19" s="1" t="s">
        <v>95</v>
      </c>
      <c r="B19" s="2">
        <v>45524</v>
      </c>
      <c r="C19" s="1">
        <v>0.89</v>
      </c>
      <c r="D19" s="1">
        <v>48.6</v>
      </c>
      <c r="E19" s="1" t="s">
        <v>205</v>
      </c>
      <c r="F19" s="1" t="s">
        <v>70</v>
      </c>
      <c r="G19" s="1" t="s">
        <v>346</v>
      </c>
      <c r="J19" s="9"/>
      <c r="L19" s="1">
        <v>41.9</v>
      </c>
      <c r="M19" s="1" t="s">
        <v>290</v>
      </c>
      <c r="N19" s="1" t="s">
        <v>19</v>
      </c>
      <c r="O19" s="1" t="s">
        <v>165</v>
      </c>
      <c r="Q19" s="1"/>
      <c r="R19" s="2"/>
      <c r="X19" s="1" t="s">
        <v>95</v>
      </c>
      <c r="Y19" s="2">
        <v>45547</v>
      </c>
      <c r="Z19" s="1">
        <v>0.84</v>
      </c>
      <c r="AA19" s="17" t="s">
        <v>95</v>
      </c>
      <c r="AB19" s="9">
        <v>45554</v>
      </c>
      <c r="AC19">
        <v>0.86</v>
      </c>
      <c r="AD19" s="17" t="s">
        <v>95</v>
      </c>
      <c r="AE19" s="9">
        <v>45561</v>
      </c>
      <c r="AF19" s="18">
        <v>0.86</v>
      </c>
      <c r="AG19" s="17" t="s">
        <v>95</v>
      </c>
      <c r="AH19" s="9">
        <v>45568</v>
      </c>
      <c r="AI19" s="18">
        <v>0.94</v>
      </c>
      <c r="AJ19" s="17" t="s">
        <v>95</v>
      </c>
      <c r="AK19" s="9">
        <v>45575</v>
      </c>
      <c r="AL19" s="18">
        <v>0.89</v>
      </c>
      <c r="AM19" s="17" t="s">
        <v>95</v>
      </c>
      <c r="AN19" s="9">
        <v>45582</v>
      </c>
      <c r="AO19" s="18">
        <v>0.88</v>
      </c>
      <c r="AP19" t="s">
        <v>95</v>
      </c>
      <c r="AQ19" s="9">
        <v>45596</v>
      </c>
      <c r="AR19">
        <v>0.92</v>
      </c>
      <c r="AS19" s="17" t="s">
        <v>95</v>
      </c>
      <c r="AT19" s="9">
        <v>45603</v>
      </c>
      <c r="AU19" s="18">
        <v>0.96</v>
      </c>
      <c r="AV19" s="17" t="s">
        <v>95</v>
      </c>
      <c r="AW19" s="9">
        <v>45610</v>
      </c>
      <c r="AX19" s="18">
        <v>0.97</v>
      </c>
      <c r="AY19" s="17" t="s">
        <v>95</v>
      </c>
      <c r="AZ19" s="9">
        <v>45617</v>
      </c>
      <c r="BA19">
        <v>0.91</v>
      </c>
      <c r="BB19" s="17" t="s">
        <v>95</v>
      </c>
      <c r="BC19" s="9">
        <v>45630</v>
      </c>
      <c r="BD19" s="18">
        <v>0.94</v>
      </c>
      <c r="BE19" s="17" t="s">
        <v>95</v>
      </c>
      <c r="BF19" s="42">
        <v>45637</v>
      </c>
      <c r="BG19" s="18">
        <v>0.89</v>
      </c>
      <c r="BH19" s="39">
        <f t="shared" si="0"/>
        <v>0.90384615384615385</v>
      </c>
      <c r="BI19" s="40">
        <f t="shared" si="1"/>
        <v>-1.5557476231633529E-2</v>
      </c>
      <c r="BJ19" s="41">
        <f t="shared" si="2"/>
        <v>-5.6179775280898799E-2</v>
      </c>
    </row>
    <row r="20" spans="1:62" x14ac:dyDescent="0.2">
      <c r="A20" s="1" t="s">
        <v>102</v>
      </c>
      <c r="B20" s="2">
        <v>45524</v>
      </c>
      <c r="C20" s="1">
        <v>1.05</v>
      </c>
      <c r="D20" s="1">
        <v>46.2</v>
      </c>
      <c r="E20" s="1" t="s">
        <v>353</v>
      </c>
      <c r="F20" s="1" t="s">
        <v>354</v>
      </c>
      <c r="G20" s="1" t="s">
        <v>236</v>
      </c>
      <c r="I20" t="s">
        <v>102</v>
      </c>
      <c r="J20" s="9">
        <v>45533</v>
      </c>
      <c r="K20" s="1">
        <v>0.88</v>
      </c>
      <c r="L20" s="1">
        <v>42.3</v>
      </c>
      <c r="M20" s="1" t="s">
        <v>238</v>
      </c>
      <c r="N20" s="1" t="s">
        <v>67</v>
      </c>
      <c r="O20" s="1" t="s">
        <v>239</v>
      </c>
      <c r="Q20" s="1" t="s">
        <v>102</v>
      </c>
      <c r="R20" s="2">
        <v>45540</v>
      </c>
      <c r="S20" s="1">
        <v>0.83</v>
      </c>
      <c r="T20" s="1">
        <v>41.8</v>
      </c>
      <c r="U20" s="1" t="s">
        <v>195</v>
      </c>
      <c r="V20" s="1" t="s">
        <v>234</v>
      </c>
      <c r="W20" s="1" t="s">
        <v>396</v>
      </c>
      <c r="X20" s="1" t="s">
        <v>102</v>
      </c>
      <c r="Y20" s="2">
        <v>45547</v>
      </c>
      <c r="Z20" s="1">
        <v>0.92</v>
      </c>
      <c r="AA20" s="17" t="s">
        <v>102</v>
      </c>
      <c r="AB20" s="9">
        <v>45554</v>
      </c>
      <c r="AC20">
        <v>0.86</v>
      </c>
      <c r="AD20" s="17" t="s">
        <v>102</v>
      </c>
      <c r="AE20" s="9">
        <v>45561</v>
      </c>
      <c r="AF20" s="18">
        <v>0.94</v>
      </c>
      <c r="AG20" s="17" t="s">
        <v>102</v>
      </c>
      <c r="AH20" s="9">
        <v>45568</v>
      </c>
      <c r="AI20" s="18">
        <v>0.97</v>
      </c>
      <c r="AJ20" s="17" t="s">
        <v>102</v>
      </c>
      <c r="AK20" s="9">
        <v>45575</v>
      </c>
      <c r="AL20" s="18">
        <v>0.96</v>
      </c>
      <c r="AM20" s="17" t="s">
        <v>102</v>
      </c>
      <c r="AN20" s="9">
        <v>45582</v>
      </c>
      <c r="AO20" s="18">
        <v>0.97</v>
      </c>
      <c r="AP20" t="s">
        <v>102</v>
      </c>
      <c r="AQ20" s="9">
        <v>45596</v>
      </c>
      <c r="AR20">
        <v>0.98</v>
      </c>
      <c r="AS20" s="17" t="s">
        <v>102</v>
      </c>
      <c r="AT20" s="9">
        <v>45603</v>
      </c>
      <c r="AU20" s="18">
        <v>1.01</v>
      </c>
      <c r="AV20" s="17" t="s">
        <v>102</v>
      </c>
      <c r="AW20" s="9">
        <v>45610</v>
      </c>
      <c r="AX20" s="18">
        <v>1.04</v>
      </c>
      <c r="AY20" s="17" t="s">
        <v>102</v>
      </c>
      <c r="AZ20" s="9">
        <v>45617</v>
      </c>
      <c r="BA20">
        <v>1.08</v>
      </c>
      <c r="BB20" s="17" t="s">
        <v>102</v>
      </c>
      <c r="BC20" s="9">
        <v>45630</v>
      </c>
      <c r="BD20" s="18">
        <v>1.01</v>
      </c>
      <c r="BE20" s="17" t="s">
        <v>102</v>
      </c>
      <c r="BF20" s="42">
        <v>45637</v>
      </c>
      <c r="BG20" s="18">
        <v>1.08</v>
      </c>
      <c r="BH20" s="39">
        <f t="shared" si="0"/>
        <v>0.97199999999999998</v>
      </c>
      <c r="BI20" s="40">
        <f t="shared" si="1"/>
        <v>0.10000000000000009</v>
      </c>
      <c r="BJ20" s="41">
        <f t="shared" si="2"/>
        <v>6.4814814814814867E-2</v>
      </c>
    </row>
    <row r="21" spans="1:62" x14ac:dyDescent="0.2">
      <c r="A21" s="1" t="s">
        <v>48</v>
      </c>
      <c r="B21" s="2">
        <v>45524</v>
      </c>
      <c r="C21" s="1">
        <v>1.21</v>
      </c>
      <c r="D21" s="1">
        <v>43.9</v>
      </c>
      <c r="E21" s="1" t="s">
        <v>163</v>
      </c>
      <c r="F21" s="1" t="s">
        <v>317</v>
      </c>
      <c r="G21" s="1" t="s">
        <v>318</v>
      </c>
      <c r="I21" t="s">
        <v>48</v>
      </c>
      <c r="J21" s="9">
        <v>45533</v>
      </c>
      <c r="K21" s="1">
        <v>1.18</v>
      </c>
      <c r="L21" s="1">
        <v>41.9</v>
      </c>
      <c r="M21" s="1" t="s">
        <v>248</v>
      </c>
      <c r="N21" s="1" t="s">
        <v>158</v>
      </c>
      <c r="O21" s="1" t="s">
        <v>249</v>
      </c>
      <c r="Q21" s="1" t="s">
        <v>48</v>
      </c>
      <c r="R21" s="2">
        <v>45540</v>
      </c>
      <c r="S21" s="1">
        <v>1.28</v>
      </c>
      <c r="X21" s="1" t="s">
        <v>48</v>
      </c>
      <c r="Y21" s="2">
        <v>45547</v>
      </c>
      <c r="Z21" s="1">
        <v>1.1599999999999999</v>
      </c>
      <c r="AA21" s="17" t="s">
        <v>48</v>
      </c>
      <c r="AB21" s="9">
        <v>45554</v>
      </c>
      <c r="AC21">
        <v>1.2</v>
      </c>
      <c r="AD21" s="17" t="s">
        <v>48</v>
      </c>
      <c r="AE21" s="9">
        <v>45561</v>
      </c>
      <c r="AF21" s="18">
        <v>1.19</v>
      </c>
      <c r="AG21" s="17" t="s">
        <v>48</v>
      </c>
      <c r="AH21" s="9">
        <v>45568</v>
      </c>
      <c r="AI21" s="18">
        <v>1.1299999999999999</v>
      </c>
      <c r="AJ21" s="17" t="s">
        <v>48</v>
      </c>
      <c r="AK21" s="9">
        <v>45575</v>
      </c>
      <c r="AL21" s="18">
        <v>1.1599999999999999</v>
      </c>
      <c r="AM21" s="17" t="s">
        <v>48</v>
      </c>
      <c r="AN21" s="9">
        <v>45582</v>
      </c>
      <c r="AO21" s="18">
        <v>1.28</v>
      </c>
      <c r="AP21" t="s">
        <v>48</v>
      </c>
      <c r="AQ21" s="9">
        <v>45596</v>
      </c>
      <c r="AR21">
        <v>1.1000000000000001</v>
      </c>
      <c r="AS21" s="17" t="s">
        <v>48</v>
      </c>
      <c r="AT21" s="9">
        <v>45603</v>
      </c>
      <c r="AU21" s="18">
        <v>1.2</v>
      </c>
      <c r="AV21" s="17" t="s">
        <v>48</v>
      </c>
      <c r="AW21" s="9">
        <v>45610</v>
      </c>
      <c r="AX21" s="18">
        <v>1.18</v>
      </c>
      <c r="AY21" s="17" t="s">
        <v>48</v>
      </c>
      <c r="AZ21" s="9">
        <v>45617</v>
      </c>
      <c r="BA21">
        <v>1.19</v>
      </c>
      <c r="BB21" s="17" t="s">
        <v>48</v>
      </c>
      <c r="BC21" s="9">
        <v>45630</v>
      </c>
      <c r="BD21" s="18">
        <v>1.2</v>
      </c>
      <c r="BE21" s="17" t="s">
        <v>48</v>
      </c>
      <c r="BF21" s="42">
        <v>45637</v>
      </c>
      <c r="BG21" s="18">
        <v>1.21</v>
      </c>
      <c r="BH21" s="39">
        <f t="shared" si="0"/>
        <v>1.1913333333333334</v>
      </c>
      <c r="BI21" s="40">
        <f t="shared" si="1"/>
        <v>1.5426997245179016E-2</v>
      </c>
      <c r="BJ21" s="41">
        <f t="shared" si="2"/>
        <v>8.2644628099173625E-3</v>
      </c>
    </row>
    <row r="22" spans="1:62" x14ac:dyDescent="0.2">
      <c r="A22" s="1" t="s">
        <v>33</v>
      </c>
      <c r="B22" s="2">
        <v>45524</v>
      </c>
      <c r="C22" s="1">
        <v>1.08</v>
      </c>
      <c r="D22" s="1">
        <v>42.7</v>
      </c>
      <c r="E22" s="1" t="s">
        <v>122</v>
      </c>
      <c r="F22" s="1" t="s">
        <v>309</v>
      </c>
      <c r="G22" s="1" t="s">
        <v>310</v>
      </c>
      <c r="I22" t="s">
        <v>33</v>
      </c>
      <c r="J22" s="9">
        <v>45533</v>
      </c>
      <c r="K22" s="1">
        <v>1</v>
      </c>
      <c r="L22" s="1">
        <v>39.5</v>
      </c>
      <c r="M22" s="1" t="s">
        <v>250</v>
      </c>
      <c r="N22" s="1" t="s">
        <v>251</v>
      </c>
      <c r="O22" s="1" t="s">
        <v>252</v>
      </c>
      <c r="Q22" s="1" t="s">
        <v>33</v>
      </c>
      <c r="R22" s="2">
        <v>45540</v>
      </c>
      <c r="S22" s="1">
        <v>1.02</v>
      </c>
      <c r="T22" s="1">
        <v>42</v>
      </c>
      <c r="U22" s="1" t="s">
        <v>339</v>
      </c>
      <c r="V22" s="1" t="s">
        <v>239</v>
      </c>
      <c r="W22" s="1" t="s">
        <v>397</v>
      </c>
      <c r="X22" s="1" t="s">
        <v>33</v>
      </c>
      <c r="Y22" s="2">
        <v>45547</v>
      </c>
      <c r="Z22" s="1">
        <v>1.1000000000000001</v>
      </c>
      <c r="AA22" s="17" t="s">
        <v>33</v>
      </c>
      <c r="AB22" s="9">
        <v>45554</v>
      </c>
      <c r="AC22">
        <v>1.22</v>
      </c>
      <c r="AD22" s="17" t="s">
        <v>33</v>
      </c>
      <c r="AE22" s="9">
        <v>45561</v>
      </c>
      <c r="AF22" s="18">
        <v>1.1200000000000001</v>
      </c>
      <c r="AG22" s="17" t="s">
        <v>33</v>
      </c>
      <c r="AH22" s="9">
        <v>45568</v>
      </c>
      <c r="AI22" s="18">
        <v>1.1499999999999999</v>
      </c>
      <c r="AJ22" s="17" t="s">
        <v>33</v>
      </c>
      <c r="AK22" s="9">
        <v>45575</v>
      </c>
      <c r="AL22" s="18">
        <v>1.08</v>
      </c>
      <c r="AM22" s="17" t="s">
        <v>33</v>
      </c>
      <c r="AN22" s="9">
        <v>45582</v>
      </c>
      <c r="AO22" s="18">
        <v>1.1299999999999999</v>
      </c>
      <c r="AP22" t="s">
        <v>33</v>
      </c>
      <c r="AQ22" s="9">
        <v>45596</v>
      </c>
      <c r="AR22">
        <v>1.02</v>
      </c>
      <c r="AS22" s="17" t="s">
        <v>33</v>
      </c>
      <c r="AT22" s="9">
        <v>45603</v>
      </c>
      <c r="AU22" s="18">
        <v>1.1200000000000001</v>
      </c>
      <c r="AV22" s="17" t="s">
        <v>33</v>
      </c>
      <c r="AW22" s="9">
        <v>45610</v>
      </c>
      <c r="AX22" s="18">
        <v>1.1599999999999999</v>
      </c>
      <c r="AY22" s="17" t="s">
        <v>33</v>
      </c>
      <c r="AZ22" s="9">
        <v>45617</v>
      </c>
      <c r="BA22">
        <v>1.24</v>
      </c>
      <c r="BB22" s="17" t="s">
        <v>33</v>
      </c>
      <c r="BC22" s="9">
        <v>45630</v>
      </c>
      <c r="BD22" s="18">
        <v>1.1200000000000001</v>
      </c>
      <c r="BE22" s="17" t="s">
        <v>33</v>
      </c>
      <c r="BF22" s="42">
        <v>45636</v>
      </c>
      <c r="BG22" s="18">
        <v>1.02</v>
      </c>
      <c r="BH22" s="39">
        <f t="shared" si="0"/>
        <v>1.1053333333333333</v>
      </c>
      <c r="BI22" s="40">
        <f t="shared" si="1"/>
        <v>-8.3660130718954173E-2</v>
      </c>
      <c r="BJ22" s="41">
        <f t="shared" si="2"/>
        <v>-9.8039215686274592E-2</v>
      </c>
    </row>
    <row r="23" spans="1:62" x14ac:dyDescent="0.2">
      <c r="A23" s="1" t="s">
        <v>77</v>
      </c>
      <c r="B23" s="2">
        <v>45524</v>
      </c>
      <c r="C23" s="1">
        <v>0.98</v>
      </c>
      <c r="D23" s="1">
        <v>49.2</v>
      </c>
      <c r="E23" s="1" t="s">
        <v>334</v>
      </c>
      <c r="F23" s="1" t="s">
        <v>335</v>
      </c>
      <c r="G23" s="1" t="s">
        <v>336</v>
      </c>
      <c r="I23" t="s">
        <v>77</v>
      </c>
      <c r="J23" s="9">
        <v>45533</v>
      </c>
      <c r="K23" s="1">
        <v>0.9</v>
      </c>
      <c r="L23" s="1">
        <v>45.6</v>
      </c>
      <c r="M23" s="1" t="s">
        <v>225</v>
      </c>
      <c r="N23" s="1" t="s">
        <v>226</v>
      </c>
      <c r="O23" s="1" t="s">
        <v>82</v>
      </c>
      <c r="Q23" s="1" t="s">
        <v>77</v>
      </c>
      <c r="R23" s="2">
        <v>45540</v>
      </c>
      <c r="S23" s="1">
        <v>0.89</v>
      </c>
      <c r="T23" s="1">
        <v>40.200000000000003</v>
      </c>
      <c r="U23" s="1" t="s">
        <v>53</v>
      </c>
      <c r="V23" s="1" t="s">
        <v>398</v>
      </c>
      <c r="W23" s="1" t="s">
        <v>399</v>
      </c>
      <c r="AA23" s="17" t="s">
        <v>77</v>
      </c>
      <c r="AB23" s="9">
        <v>45554</v>
      </c>
      <c r="AC23">
        <v>0.86</v>
      </c>
      <c r="AD23" s="17"/>
      <c r="AF23" s="18"/>
      <c r="AG23" s="17" t="s">
        <v>77</v>
      </c>
      <c r="AH23" s="9">
        <v>45568</v>
      </c>
      <c r="AI23" s="18">
        <v>0.73</v>
      </c>
      <c r="AJ23" s="17" t="s">
        <v>77</v>
      </c>
      <c r="AK23" s="9">
        <v>45575</v>
      </c>
      <c r="AL23" s="18">
        <v>0.89</v>
      </c>
      <c r="AM23" s="17"/>
      <c r="AN23" s="9"/>
      <c r="AO23" s="18"/>
      <c r="AQ23" s="9"/>
      <c r="AS23" s="17"/>
      <c r="AT23" s="9"/>
      <c r="AU23" s="18"/>
      <c r="AV23" s="17"/>
      <c r="AW23" s="9"/>
      <c r="AX23" s="18"/>
      <c r="AY23" s="17"/>
      <c r="AZ23" s="9"/>
      <c r="BB23" s="17"/>
      <c r="BC23" s="9"/>
      <c r="BD23" s="18"/>
      <c r="BE23" s="17"/>
      <c r="BF23" s="38"/>
      <c r="BG23" s="18"/>
      <c r="BH23" s="39">
        <f t="shared" si="0"/>
        <v>0.87499999999999989</v>
      </c>
      <c r="BI23" s="40" t="e">
        <f t="shared" si="1"/>
        <v>#DIV/0!</v>
      </c>
      <c r="BJ23" s="41" t="e">
        <f t="shared" si="2"/>
        <v>#DIV/0!</v>
      </c>
    </row>
    <row r="24" spans="1:62" x14ac:dyDescent="0.2">
      <c r="A24" s="1" t="s">
        <v>29</v>
      </c>
      <c r="B24" s="2">
        <v>45524</v>
      </c>
      <c r="C24" s="1">
        <v>1.02</v>
      </c>
      <c r="D24" s="1">
        <v>43.9</v>
      </c>
      <c r="E24" s="1" t="s">
        <v>342</v>
      </c>
      <c r="F24" s="1" t="s">
        <v>343</v>
      </c>
      <c r="G24" s="1" t="s">
        <v>322</v>
      </c>
      <c r="I24" t="s">
        <v>29</v>
      </c>
      <c r="J24" s="9">
        <v>45533</v>
      </c>
      <c r="K24" s="1">
        <v>0.86</v>
      </c>
      <c r="L24" s="1">
        <v>35.799999999999997</v>
      </c>
      <c r="M24" s="1" t="s">
        <v>294</v>
      </c>
      <c r="N24" s="1" t="s">
        <v>191</v>
      </c>
      <c r="O24" s="1" t="s">
        <v>295</v>
      </c>
      <c r="Q24" s="1" t="s">
        <v>29</v>
      </c>
      <c r="R24" s="2">
        <v>45540</v>
      </c>
      <c r="S24" s="1">
        <v>0.88</v>
      </c>
      <c r="T24" s="1">
        <v>44.9</v>
      </c>
      <c r="U24" s="1" t="s">
        <v>81</v>
      </c>
      <c r="V24" s="1" t="s">
        <v>360</v>
      </c>
      <c r="W24" s="1" t="s">
        <v>400</v>
      </c>
      <c r="X24" s="1" t="s">
        <v>29</v>
      </c>
      <c r="Y24" s="2">
        <v>45547</v>
      </c>
      <c r="Z24" s="1">
        <v>1</v>
      </c>
      <c r="AA24" s="17" t="s">
        <v>29</v>
      </c>
      <c r="AB24" s="9">
        <v>45554</v>
      </c>
      <c r="AC24">
        <v>1.03</v>
      </c>
      <c r="AD24" s="17" t="s">
        <v>29</v>
      </c>
      <c r="AE24" s="9">
        <v>45561</v>
      </c>
      <c r="AF24" s="18">
        <v>0.99</v>
      </c>
      <c r="AG24" s="17" t="s">
        <v>29</v>
      </c>
      <c r="AH24" s="9">
        <v>45568</v>
      </c>
      <c r="AI24" s="18">
        <v>0.95</v>
      </c>
      <c r="AJ24" s="17" t="s">
        <v>29</v>
      </c>
      <c r="AK24" s="9">
        <v>45575</v>
      </c>
      <c r="AL24" s="18">
        <v>1</v>
      </c>
      <c r="AM24" s="17" t="s">
        <v>29</v>
      </c>
      <c r="AN24" s="9">
        <v>45582</v>
      </c>
      <c r="AO24" s="18">
        <v>1.01</v>
      </c>
      <c r="AP24" t="s">
        <v>29</v>
      </c>
      <c r="AQ24" s="9">
        <v>45596</v>
      </c>
      <c r="AR24">
        <v>0.97</v>
      </c>
      <c r="AS24" s="17" t="s">
        <v>29</v>
      </c>
      <c r="AT24" s="9">
        <v>45603</v>
      </c>
      <c r="AU24" s="18">
        <v>1.03</v>
      </c>
      <c r="AV24" s="17" t="s">
        <v>29</v>
      </c>
      <c r="AW24" s="9">
        <v>45610</v>
      </c>
      <c r="AX24" s="18">
        <v>1.07</v>
      </c>
      <c r="AY24" s="17" t="s">
        <v>29</v>
      </c>
      <c r="AZ24" s="9">
        <v>45617</v>
      </c>
      <c r="BA24">
        <v>0.97</v>
      </c>
      <c r="BB24" s="17" t="s">
        <v>29</v>
      </c>
      <c r="BC24" s="9">
        <v>45630</v>
      </c>
      <c r="BD24" s="18">
        <v>0.99</v>
      </c>
      <c r="BE24" s="17" t="s">
        <v>29</v>
      </c>
      <c r="BF24" s="42">
        <v>45637</v>
      </c>
      <c r="BG24" s="18">
        <v>1.07</v>
      </c>
      <c r="BH24" s="39">
        <f t="shared" si="0"/>
        <v>0.9893333333333334</v>
      </c>
      <c r="BI24" s="40">
        <f t="shared" si="1"/>
        <v>7.5389408099688471E-2</v>
      </c>
      <c r="BJ24" s="41">
        <f t="shared" si="2"/>
        <v>7.476635514018698E-2</v>
      </c>
    </row>
    <row r="25" spans="1:62" x14ac:dyDescent="0.2">
      <c r="A25" s="1" t="s">
        <v>21</v>
      </c>
      <c r="B25" s="2">
        <v>45524</v>
      </c>
      <c r="C25" s="1">
        <v>0.88</v>
      </c>
      <c r="D25" s="1">
        <v>47.6</v>
      </c>
      <c r="E25" s="1" t="s">
        <v>212</v>
      </c>
      <c r="F25" s="1" t="s">
        <v>311</v>
      </c>
      <c r="G25" s="1" t="s">
        <v>101</v>
      </c>
      <c r="I25" t="s">
        <v>21</v>
      </c>
      <c r="J25" s="9">
        <v>45533</v>
      </c>
      <c r="K25" s="1">
        <v>0.99</v>
      </c>
      <c r="L25" s="1">
        <v>39.799999999999997</v>
      </c>
      <c r="M25" s="1" t="s">
        <v>57</v>
      </c>
      <c r="N25" s="1" t="s">
        <v>240</v>
      </c>
      <c r="O25" s="1" t="s">
        <v>241</v>
      </c>
      <c r="Q25" s="1"/>
      <c r="R25" s="2"/>
      <c r="T25" s="1">
        <v>42.5</v>
      </c>
      <c r="U25" s="1" t="s">
        <v>401</v>
      </c>
      <c r="V25" s="1" t="s">
        <v>206</v>
      </c>
      <c r="W25" s="1" t="s">
        <v>241</v>
      </c>
      <c r="AD25" s="17"/>
      <c r="AF25" s="18"/>
      <c r="AG25" s="17" t="s">
        <v>21</v>
      </c>
      <c r="AH25" s="9">
        <v>45568</v>
      </c>
      <c r="AI25" s="18">
        <v>0.99</v>
      </c>
      <c r="AJ25" s="17" t="s">
        <v>21</v>
      </c>
      <c r="AK25" s="9">
        <v>45575</v>
      </c>
      <c r="AL25" s="18">
        <v>1.07</v>
      </c>
      <c r="AM25" s="17" t="s">
        <v>21</v>
      </c>
      <c r="AN25" s="9">
        <v>45582</v>
      </c>
      <c r="AO25" s="18">
        <v>0.94</v>
      </c>
      <c r="AP25" t="s">
        <v>21</v>
      </c>
      <c r="AQ25" s="9">
        <v>45596</v>
      </c>
      <c r="AR25">
        <v>0.97</v>
      </c>
      <c r="AS25" s="17" t="s">
        <v>21</v>
      </c>
      <c r="AT25" s="9">
        <v>45603</v>
      </c>
      <c r="AU25" s="18">
        <v>0.94</v>
      </c>
      <c r="AV25" s="17" t="s">
        <v>21</v>
      </c>
      <c r="AW25" s="9">
        <v>45610</v>
      </c>
      <c r="AX25" s="18">
        <v>1.1399999999999999</v>
      </c>
      <c r="AY25" s="17" t="s">
        <v>21</v>
      </c>
      <c r="AZ25" s="9">
        <v>45617</v>
      </c>
      <c r="BA25">
        <v>0.98</v>
      </c>
      <c r="BB25" s="17" t="s">
        <v>21</v>
      </c>
      <c r="BC25" s="9">
        <v>45630</v>
      </c>
      <c r="BD25" s="18">
        <v>1.2</v>
      </c>
      <c r="BE25" s="17" t="s">
        <v>21</v>
      </c>
      <c r="BF25" s="42">
        <v>45636</v>
      </c>
      <c r="BG25" s="18">
        <v>1.1100000000000001</v>
      </c>
      <c r="BH25" s="39">
        <f t="shared" si="0"/>
        <v>1.019090909090909</v>
      </c>
      <c r="BI25" s="40">
        <f t="shared" si="1"/>
        <v>8.1900081900082022E-2</v>
      </c>
      <c r="BJ25" s="41">
        <f t="shared" si="2"/>
        <v>-8.1081081081080947E-2</v>
      </c>
    </row>
    <row r="26" spans="1:62" x14ac:dyDescent="0.2">
      <c r="A26" s="1" t="s">
        <v>92</v>
      </c>
      <c r="B26" s="2">
        <v>45524</v>
      </c>
      <c r="C26" s="1">
        <v>0.82</v>
      </c>
      <c r="D26" s="1">
        <v>41.1</v>
      </c>
      <c r="E26" s="1" t="s">
        <v>348</v>
      </c>
      <c r="F26" s="1" t="s">
        <v>349</v>
      </c>
      <c r="G26" s="1" t="s">
        <v>350</v>
      </c>
      <c r="I26" t="s">
        <v>92</v>
      </c>
      <c r="J26" s="9">
        <v>45533</v>
      </c>
      <c r="K26" s="1">
        <v>0.84</v>
      </c>
      <c r="L26" s="1">
        <v>42.3</v>
      </c>
      <c r="M26" s="1" t="s">
        <v>73</v>
      </c>
      <c r="N26" s="1" t="s">
        <v>287</v>
      </c>
      <c r="O26" s="1" t="s">
        <v>288</v>
      </c>
      <c r="Q26" s="1" t="s">
        <v>92</v>
      </c>
      <c r="R26" s="2">
        <v>45540</v>
      </c>
      <c r="S26" s="1">
        <v>0.92</v>
      </c>
      <c r="T26" s="1">
        <v>43.4</v>
      </c>
      <c r="U26" s="1" t="s">
        <v>137</v>
      </c>
      <c r="V26" s="1" t="s">
        <v>338</v>
      </c>
      <c r="W26" s="1" t="s">
        <v>402</v>
      </c>
      <c r="X26" s="1" t="s">
        <v>92</v>
      </c>
      <c r="Y26" s="2">
        <v>45547</v>
      </c>
      <c r="Z26" s="1">
        <v>0.95</v>
      </c>
      <c r="AA26" s="17" t="s">
        <v>92</v>
      </c>
      <c r="AB26" s="9">
        <v>45554</v>
      </c>
      <c r="AC26">
        <v>0.81</v>
      </c>
      <c r="AD26" s="17" t="s">
        <v>92</v>
      </c>
      <c r="AE26" s="9">
        <v>45561</v>
      </c>
      <c r="AF26" s="18">
        <v>0.61</v>
      </c>
      <c r="AG26" s="17" t="s">
        <v>92</v>
      </c>
      <c r="AH26" s="9">
        <v>45568</v>
      </c>
      <c r="AI26" s="18">
        <v>0.74</v>
      </c>
      <c r="AJ26" s="17" t="s">
        <v>92</v>
      </c>
      <c r="AK26" s="9">
        <v>45575</v>
      </c>
      <c r="AL26" s="18">
        <v>0.78</v>
      </c>
      <c r="AM26" s="17" t="s">
        <v>92</v>
      </c>
      <c r="AN26" s="9">
        <v>45582</v>
      </c>
      <c r="AO26" s="18">
        <v>0.73</v>
      </c>
      <c r="AP26" t="s">
        <v>92</v>
      </c>
      <c r="AQ26" s="9">
        <v>45596</v>
      </c>
      <c r="AR26">
        <v>0.92</v>
      </c>
      <c r="AS26" s="17" t="s">
        <v>92</v>
      </c>
      <c r="AT26" s="9">
        <v>45603</v>
      </c>
      <c r="AU26" s="18">
        <v>1.04</v>
      </c>
      <c r="AV26" s="17" t="s">
        <v>92</v>
      </c>
      <c r="AW26" s="9">
        <v>45610</v>
      </c>
      <c r="AX26" s="18">
        <v>0.93</v>
      </c>
      <c r="AY26" s="17" t="s">
        <v>92</v>
      </c>
      <c r="AZ26" s="9">
        <v>45617</v>
      </c>
      <c r="BA26">
        <v>1.08</v>
      </c>
      <c r="BB26" s="17" t="s">
        <v>92</v>
      </c>
      <c r="BC26" s="9">
        <v>45630</v>
      </c>
      <c r="BD26" s="18">
        <v>0.99</v>
      </c>
      <c r="BE26" s="17" t="s">
        <v>92</v>
      </c>
      <c r="BF26" s="42">
        <v>45637</v>
      </c>
      <c r="BG26" s="18">
        <v>1.1499999999999999</v>
      </c>
      <c r="BH26" s="39">
        <f t="shared" si="0"/>
        <v>0.88733333333333342</v>
      </c>
      <c r="BI26" s="40">
        <f t="shared" si="1"/>
        <v>0.22840579710144915</v>
      </c>
      <c r="BJ26" s="41">
        <f t="shared" si="2"/>
        <v>0.13913043478260864</v>
      </c>
    </row>
    <row r="27" spans="1:62" x14ac:dyDescent="0.2">
      <c r="A27" s="1" t="s">
        <v>112</v>
      </c>
      <c r="B27" s="2">
        <v>45524</v>
      </c>
      <c r="C27" s="1">
        <v>0.92</v>
      </c>
      <c r="D27" s="1">
        <v>36</v>
      </c>
      <c r="E27" s="1" t="s">
        <v>166</v>
      </c>
      <c r="F27" s="1" t="s">
        <v>99</v>
      </c>
      <c r="G27" s="1" t="s">
        <v>300</v>
      </c>
      <c r="I27" t="s">
        <v>112</v>
      </c>
      <c r="J27" s="9">
        <v>45533</v>
      </c>
      <c r="K27" s="1">
        <v>0.85</v>
      </c>
      <c r="L27" s="1">
        <v>33.4</v>
      </c>
      <c r="M27" s="1" t="s">
        <v>186</v>
      </c>
      <c r="N27" s="1" t="s">
        <v>113</v>
      </c>
      <c r="O27" s="1" t="s">
        <v>144</v>
      </c>
      <c r="Q27" s="1" t="s">
        <v>112</v>
      </c>
      <c r="R27" s="2">
        <v>45540</v>
      </c>
      <c r="S27" s="1">
        <v>0.86</v>
      </c>
      <c r="T27" s="1">
        <v>34</v>
      </c>
      <c r="U27" s="1" t="s">
        <v>403</v>
      </c>
      <c r="V27" s="1" t="s">
        <v>404</v>
      </c>
      <c r="W27" s="1" t="s">
        <v>405</v>
      </c>
      <c r="X27" s="1" t="s">
        <v>112</v>
      </c>
      <c r="Y27" s="2">
        <v>45547</v>
      </c>
      <c r="Z27" s="1">
        <v>0.92</v>
      </c>
      <c r="AA27" s="17" t="s">
        <v>112</v>
      </c>
      <c r="AB27" s="9">
        <v>45554</v>
      </c>
      <c r="AC27">
        <v>0.75</v>
      </c>
      <c r="AD27" s="17" t="s">
        <v>112</v>
      </c>
      <c r="AE27" s="9">
        <v>45561</v>
      </c>
      <c r="AF27" s="18">
        <v>0.56999999999999995</v>
      </c>
      <c r="AG27" s="17" t="s">
        <v>112</v>
      </c>
      <c r="AH27" s="9">
        <v>45568</v>
      </c>
      <c r="AI27" s="18">
        <v>0.75</v>
      </c>
      <c r="AJ27" s="17" t="s">
        <v>112</v>
      </c>
      <c r="AK27" s="9">
        <v>45575</v>
      </c>
      <c r="AL27" s="18">
        <v>0.81</v>
      </c>
      <c r="AM27" s="17" t="s">
        <v>112</v>
      </c>
      <c r="AN27" s="9">
        <v>45582</v>
      </c>
      <c r="AO27" s="18">
        <v>0.95</v>
      </c>
      <c r="AP27" t="s">
        <v>112</v>
      </c>
      <c r="AQ27" s="9">
        <v>45596</v>
      </c>
      <c r="AR27">
        <v>0.82</v>
      </c>
      <c r="AS27" s="17" t="s">
        <v>112</v>
      </c>
      <c r="AT27" s="9">
        <v>45603</v>
      </c>
      <c r="AU27" s="18">
        <v>0.8</v>
      </c>
      <c r="AV27" s="17" t="s">
        <v>112</v>
      </c>
      <c r="AW27" s="9">
        <v>45610</v>
      </c>
      <c r="AX27" s="18">
        <v>0.81</v>
      </c>
      <c r="AY27" s="17" t="s">
        <v>112</v>
      </c>
      <c r="AZ27" s="9">
        <v>45617</v>
      </c>
      <c r="BA27">
        <v>0.75</v>
      </c>
      <c r="BB27" s="17" t="s">
        <v>112</v>
      </c>
      <c r="BC27" s="9">
        <v>45630</v>
      </c>
      <c r="BD27" s="18">
        <v>0.88</v>
      </c>
      <c r="BE27" s="17" t="s">
        <v>112</v>
      </c>
      <c r="BF27" s="42">
        <v>45637</v>
      </c>
      <c r="BG27" s="18">
        <v>0.79</v>
      </c>
      <c r="BH27" s="39">
        <f t="shared" si="0"/>
        <v>0.81533333333333335</v>
      </c>
      <c r="BI27" s="40">
        <f t="shared" si="1"/>
        <v>-3.2067510548523186E-2</v>
      </c>
      <c r="BJ27" s="41">
        <f t="shared" si="2"/>
        <v>-0.11392405063291135</v>
      </c>
    </row>
    <row r="28" spans="1:62" x14ac:dyDescent="0.2">
      <c r="B28" s="2"/>
      <c r="I28" s="13" t="s">
        <v>120</v>
      </c>
      <c r="J28" s="9">
        <v>45533</v>
      </c>
      <c r="K28" s="1">
        <v>0.73</v>
      </c>
      <c r="L28" s="1">
        <v>44</v>
      </c>
      <c r="M28" s="1" t="s">
        <v>181</v>
      </c>
      <c r="N28" s="1" t="s">
        <v>188</v>
      </c>
      <c r="O28" s="1" t="s">
        <v>155</v>
      </c>
      <c r="Q28" s="1" t="s">
        <v>120</v>
      </c>
      <c r="R28" s="2">
        <v>45540</v>
      </c>
      <c r="S28" s="1">
        <v>0.6</v>
      </c>
      <c r="T28" s="1">
        <v>33.799999999999997</v>
      </c>
      <c r="U28" s="1" t="s">
        <v>79</v>
      </c>
      <c r="V28" s="1" t="s">
        <v>314</v>
      </c>
      <c r="W28" s="1" t="s">
        <v>406</v>
      </c>
      <c r="X28" s="1" t="s">
        <v>120</v>
      </c>
      <c r="Y28" s="2">
        <v>45547</v>
      </c>
      <c r="Z28" s="1">
        <v>0.72</v>
      </c>
      <c r="AA28" s="17" t="s">
        <v>120</v>
      </c>
      <c r="AB28" s="9">
        <v>45554</v>
      </c>
      <c r="AC28">
        <v>0.86</v>
      </c>
      <c r="AD28" s="17" t="s">
        <v>120</v>
      </c>
      <c r="AE28" s="9">
        <v>45561</v>
      </c>
      <c r="AF28" s="18">
        <v>0.73</v>
      </c>
      <c r="AG28" s="17" t="s">
        <v>120</v>
      </c>
      <c r="AH28" s="9">
        <v>45568</v>
      </c>
      <c r="AI28" s="18">
        <v>0.72</v>
      </c>
      <c r="AJ28" s="17" t="s">
        <v>120</v>
      </c>
      <c r="AK28" s="9">
        <v>45575</v>
      </c>
      <c r="AL28" s="18">
        <v>0.8</v>
      </c>
      <c r="AM28" s="17" t="s">
        <v>120</v>
      </c>
      <c r="AN28" s="9">
        <v>45582</v>
      </c>
      <c r="AO28" s="18">
        <v>0.74</v>
      </c>
      <c r="AP28" t="s">
        <v>120</v>
      </c>
      <c r="AQ28" s="9">
        <v>45596</v>
      </c>
      <c r="AR28">
        <v>0.8</v>
      </c>
      <c r="AS28" s="17"/>
      <c r="AT28" s="9"/>
      <c r="AU28" s="18"/>
      <c r="AV28" t="s">
        <v>120</v>
      </c>
      <c r="AW28" s="9">
        <v>45610</v>
      </c>
      <c r="AX28" s="18">
        <v>0.76</v>
      </c>
      <c r="AY28" s="17" t="s">
        <v>120</v>
      </c>
      <c r="AZ28" s="9">
        <v>45617</v>
      </c>
      <c r="BA28">
        <v>0.8</v>
      </c>
      <c r="BB28" s="17" t="s">
        <v>120</v>
      </c>
      <c r="BC28" s="9">
        <v>45630</v>
      </c>
      <c r="BD28" s="18">
        <v>0.81</v>
      </c>
      <c r="BE28" s="17" t="s">
        <v>120</v>
      </c>
      <c r="BF28" s="42">
        <v>45637</v>
      </c>
      <c r="BG28" s="18">
        <v>0.85</v>
      </c>
      <c r="BH28" s="39">
        <f t="shared" si="0"/>
        <v>0.7630769230769231</v>
      </c>
      <c r="BI28" s="40">
        <f t="shared" si="1"/>
        <v>0.10226244343891398</v>
      </c>
      <c r="BJ28" s="41">
        <f t="shared" si="2"/>
        <v>4.7058823529411674E-2</v>
      </c>
    </row>
    <row r="29" spans="1:62" x14ac:dyDescent="0.2">
      <c r="A29" s="1" t="s">
        <v>40</v>
      </c>
      <c r="B29" s="2">
        <v>45524</v>
      </c>
      <c r="C29" s="1">
        <v>0.83</v>
      </c>
      <c r="D29" s="1">
        <v>45.7</v>
      </c>
      <c r="E29" s="1" t="s">
        <v>134</v>
      </c>
      <c r="F29" s="1" t="s">
        <v>319</v>
      </c>
      <c r="G29" s="1" t="s">
        <v>59</v>
      </c>
      <c r="I29" t="s">
        <v>40</v>
      </c>
      <c r="J29" s="9">
        <v>45533</v>
      </c>
      <c r="K29" s="1">
        <v>0.81</v>
      </c>
      <c r="Q29" s="1" t="s">
        <v>40</v>
      </c>
      <c r="R29" s="2">
        <v>45540</v>
      </c>
      <c r="S29" s="1">
        <v>1.18</v>
      </c>
      <c r="T29" s="1">
        <v>43.6</v>
      </c>
      <c r="U29" s="1" t="s">
        <v>319</v>
      </c>
      <c r="V29" s="1" t="s">
        <v>15</v>
      </c>
      <c r="W29" s="1" t="s">
        <v>407</v>
      </c>
      <c r="X29" s="1" t="s">
        <v>40</v>
      </c>
      <c r="Y29" s="2">
        <v>45547</v>
      </c>
      <c r="Z29" s="1">
        <v>1.0900000000000001</v>
      </c>
      <c r="AA29" s="17" t="s">
        <v>40</v>
      </c>
      <c r="AB29" s="9">
        <v>45554</v>
      </c>
      <c r="AC29">
        <v>0.94</v>
      </c>
      <c r="AD29" s="17" t="s">
        <v>40</v>
      </c>
      <c r="AE29" s="9">
        <v>45561</v>
      </c>
      <c r="AF29" s="18">
        <v>0.89</v>
      </c>
      <c r="AG29" s="17" t="s">
        <v>40</v>
      </c>
      <c r="AH29" s="9">
        <v>45568</v>
      </c>
      <c r="AI29" s="18">
        <v>0.89</v>
      </c>
      <c r="AJ29" s="17" t="s">
        <v>40</v>
      </c>
      <c r="AK29" s="9">
        <v>45575</v>
      </c>
      <c r="AL29" s="18">
        <v>0.81</v>
      </c>
      <c r="AM29" s="17" t="s">
        <v>40</v>
      </c>
      <c r="AN29" s="9">
        <v>45582</v>
      </c>
      <c r="AO29" s="18">
        <v>0.96</v>
      </c>
      <c r="AP29" t="s">
        <v>40</v>
      </c>
      <c r="AQ29" s="9">
        <v>45596</v>
      </c>
      <c r="AR29">
        <v>1.1100000000000001</v>
      </c>
      <c r="AS29" s="17" t="s">
        <v>40</v>
      </c>
      <c r="AT29" s="9">
        <v>45603</v>
      </c>
      <c r="AU29" s="18">
        <v>1.04</v>
      </c>
      <c r="AV29" s="17" t="s">
        <v>40</v>
      </c>
      <c r="AW29" s="9">
        <v>45610</v>
      </c>
      <c r="AX29" s="18">
        <v>1.06</v>
      </c>
      <c r="AY29" s="17" t="s">
        <v>40</v>
      </c>
      <c r="AZ29" s="9">
        <v>45617</v>
      </c>
      <c r="BA29">
        <v>1.1499999999999999</v>
      </c>
      <c r="BB29" s="17" t="s">
        <v>40</v>
      </c>
      <c r="BC29" s="9">
        <v>45630</v>
      </c>
      <c r="BD29" s="18">
        <v>1.1499999999999999</v>
      </c>
      <c r="BE29" s="17" t="s">
        <v>40</v>
      </c>
      <c r="BF29" s="42">
        <v>45637</v>
      </c>
      <c r="BG29" s="18">
        <v>1.02</v>
      </c>
      <c r="BH29" s="39">
        <f t="shared" si="0"/>
        <v>0.99533333333333318</v>
      </c>
      <c r="BI29" s="40">
        <f t="shared" si="1"/>
        <v>2.418300653594788E-2</v>
      </c>
      <c r="BJ29" s="41">
        <f t="shared" si="2"/>
        <v>-0.12745098039215674</v>
      </c>
    </row>
    <row r="30" spans="1:62" x14ac:dyDescent="0.2">
      <c r="A30" s="1" t="s">
        <v>75</v>
      </c>
      <c r="B30" s="2">
        <v>45524</v>
      </c>
      <c r="C30" s="1">
        <v>0.5</v>
      </c>
      <c r="D30" s="1">
        <v>52</v>
      </c>
      <c r="E30" s="1" t="s">
        <v>190</v>
      </c>
      <c r="F30" s="1" t="s">
        <v>305</v>
      </c>
      <c r="G30" s="1" t="s">
        <v>306</v>
      </c>
      <c r="I30" t="s">
        <v>75</v>
      </c>
      <c r="J30" s="9">
        <v>45533</v>
      </c>
      <c r="K30" s="1">
        <v>0.52</v>
      </c>
      <c r="L30" s="1">
        <v>24.5</v>
      </c>
      <c r="M30" s="1" t="s">
        <v>271</v>
      </c>
      <c r="N30" s="1" t="s">
        <v>272</v>
      </c>
      <c r="O30" s="1" t="s">
        <v>197</v>
      </c>
      <c r="Q30" s="1" t="s">
        <v>75</v>
      </c>
      <c r="R30" s="2">
        <v>45540</v>
      </c>
      <c r="S30" s="1">
        <v>0.49</v>
      </c>
      <c r="T30" s="1">
        <v>24.5</v>
      </c>
      <c r="U30" s="1" t="s">
        <v>408</v>
      </c>
      <c r="V30" s="1" t="s">
        <v>409</v>
      </c>
      <c r="W30" s="1" t="s">
        <v>410</v>
      </c>
      <c r="X30" s="1" t="s">
        <v>75</v>
      </c>
      <c r="Y30" s="2">
        <v>45547</v>
      </c>
      <c r="Z30" s="1">
        <v>0.55000000000000004</v>
      </c>
      <c r="AA30" s="17" t="s">
        <v>75</v>
      </c>
      <c r="AB30" s="9">
        <v>45554</v>
      </c>
      <c r="AC30">
        <v>0.53</v>
      </c>
      <c r="AD30" s="17" t="s">
        <v>75</v>
      </c>
      <c r="AE30" s="9">
        <v>45561</v>
      </c>
      <c r="AF30" s="18">
        <v>0.5</v>
      </c>
      <c r="AG30" s="17" t="s">
        <v>75</v>
      </c>
      <c r="AH30" s="9">
        <v>45568</v>
      </c>
      <c r="AI30" s="18">
        <v>0.54</v>
      </c>
      <c r="AJ30" s="17" t="s">
        <v>75</v>
      </c>
      <c r="AK30" s="9">
        <v>45575</v>
      </c>
      <c r="AL30" s="18">
        <v>0.5</v>
      </c>
      <c r="AM30" s="17" t="s">
        <v>75</v>
      </c>
      <c r="AN30" s="9">
        <v>45582</v>
      </c>
      <c r="AO30" s="18">
        <v>0.48</v>
      </c>
      <c r="AP30" t="s">
        <v>75</v>
      </c>
      <c r="AQ30" s="9">
        <v>45596</v>
      </c>
      <c r="AR30">
        <v>0.43</v>
      </c>
      <c r="AS30" s="17" t="s">
        <v>75</v>
      </c>
      <c r="AT30" s="9">
        <v>45603</v>
      </c>
      <c r="AU30" s="18">
        <v>0.45</v>
      </c>
      <c r="AV30" s="17" t="s">
        <v>75</v>
      </c>
      <c r="AW30" s="9">
        <v>45610</v>
      </c>
      <c r="AX30" s="18">
        <v>0.56000000000000005</v>
      </c>
      <c r="AY30" s="17"/>
      <c r="AZ30" s="9"/>
      <c r="BB30" s="17" t="s">
        <v>75</v>
      </c>
      <c r="BC30" s="9">
        <v>45630</v>
      </c>
      <c r="BD30" s="18">
        <v>0.51</v>
      </c>
      <c r="BE30" s="17" t="s">
        <v>75</v>
      </c>
      <c r="BF30" s="42">
        <v>45637</v>
      </c>
      <c r="BG30" s="18">
        <v>0.55000000000000004</v>
      </c>
      <c r="BH30" s="39">
        <f t="shared" si="0"/>
        <v>0.50785714285714278</v>
      </c>
      <c r="BI30" s="40">
        <f t="shared" si="1"/>
        <v>7.6623376623376829E-2</v>
      </c>
      <c r="BJ30" s="41">
        <f t="shared" si="2"/>
        <v>7.2727272727272779E-2</v>
      </c>
    </row>
    <row r="31" spans="1:62" x14ac:dyDescent="0.2">
      <c r="A31" s="1" t="s">
        <v>17</v>
      </c>
      <c r="B31" s="2">
        <v>45524</v>
      </c>
      <c r="C31" s="1">
        <v>0.95</v>
      </c>
      <c r="D31" s="1">
        <v>42.2</v>
      </c>
      <c r="E31" s="1" t="s">
        <v>361</v>
      </c>
      <c r="F31" s="1" t="s">
        <v>362</v>
      </c>
      <c r="G31" s="1" t="s">
        <v>19</v>
      </c>
      <c r="I31" t="s">
        <v>17</v>
      </c>
      <c r="J31" s="9">
        <v>45533</v>
      </c>
      <c r="K31" s="1">
        <v>1.0900000000000001</v>
      </c>
      <c r="L31" s="1">
        <v>47.2</v>
      </c>
      <c r="M31" s="1" t="s">
        <v>242</v>
      </c>
      <c r="N31" s="1" t="s">
        <v>224</v>
      </c>
      <c r="O31" s="1" t="s">
        <v>243</v>
      </c>
      <c r="Q31" s="1"/>
      <c r="R31" s="2"/>
      <c r="Y31" s="2"/>
      <c r="AA31" s="17" t="s">
        <v>17</v>
      </c>
      <c r="AB31" s="9">
        <v>45554</v>
      </c>
      <c r="AC31">
        <v>1.04</v>
      </c>
      <c r="AD31" s="17" t="s">
        <v>17</v>
      </c>
      <c r="AE31" s="9">
        <v>45561</v>
      </c>
      <c r="AF31" s="18">
        <v>1.02</v>
      </c>
      <c r="AG31" s="17" t="s">
        <v>17</v>
      </c>
      <c r="AH31" s="9">
        <v>45568</v>
      </c>
      <c r="AI31" s="18">
        <v>1.05</v>
      </c>
      <c r="AJ31" s="17" t="s">
        <v>17</v>
      </c>
      <c r="AK31" s="9">
        <v>45575</v>
      </c>
      <c r="AL31" s="18">
        <v>1.08</v>
      </c>
      <c r="AM31" s="17" t="s">
        <v>17</v>
      </c>
      <c r="AN31" s="9">
        <v>45582</v>
      </c>
      <c r="AO31" s="18">
        <v>1.07</v>
      </c>
      <c r="AP31" t="s">
        <v>17</v>
      </c>
      <c r="AQ31" s="9">
        <v>45596</v>
      </c>
      <c r="AR31">
        <v>1.22</v>
      </c>
      <c r="AS31" s="17" t="s">
        <v>17</v>
      </c>
      <c r="AT31" s="9">
        <v>45603</v>
      </c>
      <c r="AU31" s="18">
        <v>1.06</v>
      </c>
      <c r="AV31" s="17" t="s">
        <v>17</v>
      </c>
      <c r="AW31" s="9">
        <v>45610</v>
      </c>
      <c r="AX31" s="18">
        <v>1.17</v>
      </c>
      <c r="AY31" s="17" t="s">
        <v>17</v>
      </c>
      <c r="AZ31" s="9">
        <v>45617</v>
      </c>
      <c r="BA31">
        <v>1.1399999999999999</v>
      </c>
      <c r="BB31" s="17" t="s">
        <v>17</v>
      </c>
      <c r="BC31" s="9">
        <v>45630</v>
      </c>
      <c r="BD31" s="18">
        <v>1.25</v>
      </c>
      <c r="BE31" s="17" t="s">
        <v>17</v>
      </c>
      <c r="BF31" s="42">
        <v>45637</v>
      </c>
      <c r="BG31" s="18">
        <v>1.21</v>
      </c>
      <c r="BH31" s="39">
        <f t="shared" si="0"/>
        <v>1.1038461538461539</v>
      </c>
      <c r="BI31" s="40">
        <f t="shared" si="1"/>
        <v>8.7730451366814913E-2</v>
      </c>
      <c r="BJ31" s="41">
        <f t="shared" si="2"/>
        <v>-3.305785123966945E-2</v>
      </c>
    </row>
    <row r="32" spans="1:62" x14ac:dyDescent="0.2">
      <c r="A32" s="1" t="s">
        <v>98</v>
      </c>
      <c r="B32" s="2">
        <v>45524</v>
      </c>
      <c r="C32" s="1">
        <v>1.1000000000000001</v>
      </c>
      <c r="D32" s="1">
        <v>47</v>
      </c>
      <c r="E32" s="1" t="s">
        <v>279</v>
      </c>
      <c r="F32" s="1" t="s">
        <v>150</v>
      </c>
      <c r="G32" s="1" t="s">
        <v>325</v>
      </c>
      <c r="I32" t="s">
        <v>98</v>
      </c>
      <c r="J32" s="9">
        <v>45533</v>
      </c>
      <c r="K32" s="1">
        <v>1.1200000000000001</v>
      </c>
      <c r="L32" s="1">
        <v>44.7</v>
      </c>
      <c r="M32" s="1" t="s">
        <v>275</v>
      </c>
      <c r="N32" s="1" t="s">
        <v>276</v>
      </c>
      <c r="O32" s="1" t="s">
        <v>277</v>
      </c>
      <c r="Q32" s="1" t="s">
        <v>98</v>
      </c>
      <c r="R32" s="2">
        <v>45540</v>
      </c>
      <c r="S32" s="1">
        <v>1.2</v>
      </c>
      <c r="T32" s="1">
        <v>43.1</v>
      </c>
      <c r="U32" s="1" t="s">
        <v>411</v>
      </c>
      <c r="V32" s="1" t="s">
        <v>352</v>
      </c>
      <c r="W32" s="1" t="s">
        <v>412</v>
      </c>
      <c r="X32" s="1" t="s">
        <v>98</v>
      </c>
      <c r="Y32" s="2">
        <v>45547</v>
      </c>
      <c r="Z32" s="1">
        <v>1.2</v>
      </c>
      <c r="AA32" s="17" t="s">
        <v>98</v>
      </c>
      <c r="AB32" s="9">
        <v>45554</v>
      </c>
      <c r="AC32">
        <v>0.83</v>
      </c>
      <c r="AD32" s="17" t="s">
        <v>98</v>
      </c>
      <c r="AE32" s="9">
        <v>45561</v>
      </c>
      <c r="AF32" s="18">
        <v>1.1299999999999999</v>
      </c>
      <c r="AG32" s="17" t="s">
        <v>98</v>
      </c>
      <c r="AH32" s="9">
        <v>45568</v>
      </c>
      <c r="AI32" s="18">
        <v>1.03</v>
      </c>
      <c r="AJ32" s="17" t="s">
        <v>98</v>
      </c>
      <c r="AK32" s="9">
        <v>45575</v>
      </c>
      <c r="AL32" s="18">
        <v>1.05</v>
      </c>
      <c r="AM32" s="17" t="s">
        <v>98</v>
      </c>
      <c r="AN32" s="9">
        <v>45582</v>
      </c>
      <c r="AO32" s="18">
        <v>1.04</v>
      </c>
      <c r="AP32" t="s">
        <v>98</v>
      </c>
      <c r="AQ32" s="9">
        <v>45596</v>
      </c>
      <c r="AR32">
        <v>1.21</v>
      </c>
      <c r="AS32" s="17" t="s">
        <v>98</v>
      </c>
      <c r="AT32" s="9">
        <v>45603</v>
      </c>
      <c r="AU32" s="18">
        <v>1.19</v>
      </c>
      <c r="AV32" s="17" t="s">
        <v>98</v>
      </c>
      <c r="AW32" s="9">
        <v>45610</v>
      </c>
      <c r="AX32" s="18">
        <v>1.1599999999999999</v>
      </c>
      <c r="AY32" s="17" t="s">
        <v>98</v>
      </c>
      <c r="AZ32" s="9">
        <v>45617</v>
      </c>
      <c r="BA32">
        <v>1.04</v>
      </c>
      <c r="BB32" s="17" t="s">
        <v>98</v>
      </c>
      <c r="BC32" s="9">
        <v>45630</v>
      </c>
      <c r="BD32" s="18">
        <v>1.0900000000000001</v>
      </c>
      <c r="BE32" s="17" t="s">
        <v>98</v>
      </c>
      <c r="BF32" s="42">
        <v>45637</v>
      </c>
      <c r="BG32" s="18">
        <v>1.08</v>
      </c>
      <c r="BH32" s="39">
        <f t="shared" si="0"/>
        <v>1.0979999999999999</v>
      </c>
      <c r="BI32" s="40">
        <f t="shared" si="1"/>
        <v>-1.6666666666666476E-2</v>
      </c>
      <c r="BJ32" s="41">
        <f t="shared" si="2"/>
        <v>-9.2592592592592674E-3</v>
      </c>
    </row>
    <row r="33" spans="1:62" x14ac:dyDescent="0.2">
      <c r="A33" s="1" t="s">
        <v>278</v>
      </c>
      <c r="B33" s="2">
        <v>45524</v>
      </c>
      <c r="C33" s="1">
        <v>0.96</v>
      </c>
      <c r="D33" s="1">
        <v>48.8</v>
      </c>
      <c r="E33" s="1" t="s">
        <v>328</v>
      </c>
      <c r="F33" s="1" t="s">
        <v>329</v>
      </c>
      <c r="G33" s="1" t="s">
        <v>330</v>
      </c>
      <c r="I33" t="s">
        <v>278</v>
      </c>
      <c r="J33" s="9">
        <v>45533</v>
      </c>
      <c r="K33" s="1">
        <v>0.96</v>
      </c>
      <c r="L33" s="1">
        <v>49.9</v>
      </c>
      <c r="M33" s="1" t="s">
        <v>279</v>
      </c>
      <c r="N33" s="1" t="s">
        <v>280</v>
      </c>
      <c r="O33" s="1" t="s">
        <v>281</v>
      </c>
      <c r="Q33" s="1" t="s">
        <v>278</v>
      </c>
      <c r="R33" s="2">
        <v>45540</v>
      </c>
      <c r="S33" s="1">
        <v>0.87</v>
      </c>
      <c r="T33" s="1">
        <v>47.8</v>
      </c>
      <c r="U33" s="1" t="s">
        <v>413</v>
      </c>
      <c r="V33" s="1" t="s">
        <v>385</v>
      </c>
      <c r="W33" s="1" t="s">
        <v>414</v>
      </c>
      <c r="X33" s="1" t="s">
        <v>278</v>
      </c>
      <c r="Y33" s="2">
        <v>45547</v>
      </c>
      <c r="Z33" s="1">
        <v>1.02</v>
      </c>
      <c r="AA33" s="17" t="s">
        <v>278</v>
      </c>
      <c r="AB33" s="9">
        <v>45554</v>
      </c>
      <c r="AC33">
        <v>0.77</v>
      </c>
      <c r="AD33" s="17" t="s">
        <v>278</v>
      </c>
      <c r="AE33" s="9">
        <v>45561</v>
      </c>
      <c r="AF33" s="18">
        <v>0.94</v>
      </c>
      <c r="AG33" s="17" t="s">
        <v>278</v>
      </c>
      <c r="AH33" s="9">
        <v>45568</v>
      </c>
      <c r="AI33" s="18">
        <v>1.0900000000000001</v>
      </c>
      <c r="AJ33" s="17" t="s">
        <v>278</v>
      </c>
      <c r="AK33" s="9">
        <v>45575</v>
      </c>
      <c r="AL33" s="18">
        <v>0.88</v>
      </c>
      <c r="AM33" s="17"/>
      <c r="AN33" s="9"/>
      <c r="AO33" s="18"/>
      <c r="AQ33" s="9"/>
      <c r="AS33" s="17" t="s">
        <v>278</v>
      </c>
      <c r="AT33" s="9">
        <v>45603</v>
      </c>
      <c r="AU33" s="18">
        <v>0.69</v>
      </c>
      <c r="AV33" s="17" t="s">
        <v>278</v>
      </c>
      <c r="AW33" s="9">
        <v>45610</v>
      </c>
      <c r="AX33" s="18">
        <v>0.89</v>
      </c>
      <c r="AY33" s="17" t="s">
        <v>278</v>
      </c>
      <c r="AZ33" s="9">
        <v>45617</v>
      </c>
      <c r="BA33">
        <v>0.8</v>
      </c>
      <c r="BB33" s="17" t="s">
        <v>278</v>
      </c>
      <c r="BC33" s="9">
        <v>45630</v>
      </c>
      <c r="BD33" s="18">
        <v>1.03</v>
      </c>
      <c r="BE33" s="17" t="s">
        <v>278</v>
      </c>
      <c r="BF33" s="42">
        <v>45637</v>
      </c>
      <c r="BG33" s="18">
        <v>0.9</v>
      </c>
      <c r="BH33" s="39">
        <f t="shared" si="0"/>
        <v>0.9076923076923078</v>
      </c>
      <c r="BI33" s="40">
        <f t="shared" si="1"/>
        <v>-8.5470085470086398E-3</v>
      </c>
      <c r="BJ33" s="41">
        <f t="shared" si="2"/>
        <v>-0.14444444444444446</v>
      </c>
    </row>
    <row r="34" spans="1:62" x14ac:dyDescent="0.2">
      <c r="A34" s="1" t="s">
        <v>7</v>
      </c>
      <c r="B34" s="2">
        <v>45524</v>
      </c>
      <c r="C34" s="1">
        <v>1</v>
      </c>
      <c r="D34" s="1">
        <v>46.5</v>
      </c>
      <c r="E34" s="1" t="s">
        <v>358</v>
      </c>
      <c r="F34" s="1" t="s">
        <v>359</v>
      </c>
      <c r="G34" s="1" t="s">
        <v>360</v>
      </c>
      <c r="I34" t="s">
        <v>7</v>
      </c>
      <c r="J34" s="9">
        <v>45533</v>
      </c>
      <c r="K34" s="1">
        <v>0.99</v>
      </c>
      <c r="L34" s="1">
        <v>43.4</v>
      </c>
      <c r="M34" s="1" t="s">
        <v>129</v>
      </c>
      <c r="N34" s="1" t="s">
        <v>230</v>
      </c>
      <c r="O34" s="1" t="s">
        <v>231</v>
      </c>
      <c r="Q34" s="1" t="s">
        <v>7</v>
      </c>
      <c r="R34" s="2">
        <v>45540</v>
      </c>
      <c r="S34" s="1">
        <v>1.03</v>
      </c>
      <c r="T34" s="1">
        <v>46.2</v>
      </c>
      <c r="U34" s="1" t="s">
        <v>355</v>
      </c>
      <c r="V34" s="1" t="s">
        <v>384</v>
      </c>
      <c r="W34" s="1" t="s">
        <v>415</v>
      </c>
      <c r="X34" s="1" t="s">
        <v>7</v>
      </c>
      <c r="Y34" s="2">
        <v>45547</v>
      </c>
      <c r="Z34" s="1">
        <v>1.04</v>
      </c>
      <c r="AA34" s="17" t="s">
        <v>7</v>
      </c>
      <c r="AB34" s="9">
        <v>45554</v>
      </c>
      <c r="AC34">
        <v>1.04</v>
      </c>
      <c r="AD34" s="17" t="s">
        <v>7</v>
      </c>
      <c r="AE34" s="9">
        <v>45561</v>
      </c>
      <c r="AF34" s="18">
        <v>0.94</v>
      </c>
      <c r="AG34" s="17" t="s">
        <v>7</v>
      </c>
      <c r="AH34" s="9">
        <v>45568</v>
      </c>
      <c r="AI34" s="18">
        <v>1.07</v>
      </c>
      <c r="AJ34" s="17" t="s">
        <v>7</v>
      </c>
      <c r="AK34" s="9">
        <v>45575</v>
      </c>
      <c r="AL34" s="18">
        <v>0.9</v>
      </c>
      <c r="AM34" s="17" t="s">
        <v>7</v>
      </c>
      <c r="AN34" s="9">
        <v>45582</v>
      </c>
      <c r="AO34" s="18">
        <v>1.06</v>
      </c>
      <c r="AP34" t="s">
        <v>7</v>
      </c>
      <c r="AQ34" s="9">
        <v>45596</v>
      </c>
      <c r="AR34">
        <v>1.1100000000000001</v>
      </c>
      <c r="AS34" s="17" t="s">
        <v>7</v>
      </c>
      <c r="AT34" s="9">
        <v>45603</v>
      </c>
      <c r="AU34" s="18">
        <v>1.17</v>
      </c>
      <c r="AV34" s="17" t="s">
        <v>7</v>
      </c>
      <c r="AW34" s="9">
        <v>45610</v>
      </c>
      <c r="AX34" s="18">
        <v>1.34</v>
      </c>
      <c r="AY34" s="17" t="s">
        <v>7</v>
      </c>
      <c r="AZ34" s="9">
        <v>45617</v>
      </c>
      <c r="BA34">
        <v>1.1200000000000001</v>
      </c>
      <c r="BB34" s="17" t="s">
        <v>7</v>
      </c>
      <c r="BC34" s="9">
        <v>45630</v>
      </c>
      <c r="BD34" s="18">
        <v>1.24</v>
      </c>
      <c r="BE34" s="17" t="s">
        <v>7</v>
      </c>
      <c r="BF34" s="42">
        <v>45637</v>
      </c>
      <c r="BG34" s="18">
        <v>1.19</v>
      </c>
      <c r="BH34" s="39">
        <f t="shared" si="0"/>
        <v>1.0826666666666669</v>
      </c>
      <c r="BI34" s="40">
        <f t="shared" si="1"/>
        <v>9.0196078431372326E-2</v>
      </c>
      <c r="BJ34" s="41">
        <f t="shared" si="2"/>
        <v>-4.2016806722689114E-2</v>
      </c>
    </row>
    <row r="35" spans="1:62" x14ac:dyDescent="0.2">
      <c r="A35" s="1" t="s">
        <v>244</v>
      </c>
      <c r="B35" s="2">
        <v>45524</v>
      </c>
      <c r="C35" s="1">
        <v>0.74</v>
      </c>
      <c r="D35" s="1">
        <v>51.1</v>
      </c>
      <c r="E35" s="1" t="s">
        <v>327</v>
      </c>
      <c r="F35" s="1" t="s">
        <v>70</v>
      </c>
      <c r="G35" s="1" t="s">
        <v>198</v>
      </c>
      <c r="I35" t="s">
        <v>244</v>
      </c>
      <c r="J35" s="9">
        <v>45533</v>
      </c>
      <c r="K35" s="1">
        <v>0.75</v>
      </c>
      <c r="L35" s="1">
        <v>35.5</v>
      </c>
      <c r="M35" s="1" t="s">
        <v>245</v>
      </c>
      <c r="N35" s="1" t="s">
        <v>246</v>
      </c>
      <c r="O35" s="1" t="s">
        <v>247</v>
      </c>
      <c r="Q35" s="1" t="s">
        <v>244</v>
      </c>
      <c r="R35" s="2">
        <v>45540</v>
      </c>
      <c r="S35" s="1">
        <v>0.82</v>
      </c>
      <c r="T35" s="1">
        <v>34.9</v>
      </c>
      <c r="U35" s="1" t="s">
        <v>368</v>
      </c>
      <c r="V35" s="1" t="s">
        <v>218</v>
      </c>
      <c r="W35" s="1" t="s">
        <v>416</v>
      </c>
      <c r="X35" s="1" t="s">
        <v>244</v>
      </c>
      <c r="Y35" s="2">
        <v>45547</v>
      </c>
      <c r="Z35" s="1">
        <v>0.94</v>
      </c>
      <c r="AA35" s="17" t="s">
        <v>244</v>
      </c>
      <c r="AB35" s="9">
        <v>45554</v>
      </c>
      <c r="AC35">
        <v>0.78</v>
      </c>
      <c r="AD35" s="17" t="s">
        <v>244</v>
      </c>
      <c r="AE35" s="9">
        <v>45561</v>
      </c>
      <c r="AF35" s="18">
        <v>1.01</v>
      </c>
      <c r="AG35" s="17" t="s">
        <v>244</v>
      </c>
      <c r="AH35" s="9">
        <v>45568</v>
      </c>
      <c r="AI35" s="18">
        <v>1.05</v>
      </c>
      <c r="AJ35" s="17" t="s">
        <v>244</v>
      </c>
      <c r="AK35" s="9">
        <v>45575</v>
      </c>
      <c r="AL35" s="18">
        <v>1.08</v>
      </c>
      <c r="AM35" s="17" t="s">
        <v>244</v>
      </c>
      <c r="AN35" s="9">
        <v>45582</v>
      </c>
      <c r="AO35" s="18">
        <v>1.06</v>
      </c>
      <c r="AP35" t="s">
        <v>244</v>
      </c>
      <c r="AQ35" s="9">
        <v>45596</v>
      </c>
      <c r="AR35">
        <v>1.24</v>
      </c>
      <c r="AS35" s="17" t="s">
        <v>244</v>
      </c>
      <c r="AT35" s="9">
        <v>45603</v>
      </c>
      <c r="AU35" s="18">
        <v>1.1599999999999999</v>
      </c>
      <c r="AV35" s="17" t="s">
        <v>244</v>
      </c>
      <c r="AW35" s="9">
        <v>45610</v>
      </c>
      <c r="AX35" s="18">
        <v>1.1200000000000001</v>
      </c>
      <c r="AY35" s="17" t="s">
        <v>244</v>
      </c>
      <c r="AZ35" s="9">
        <v>45617</v>
      </c>
      <c r="BA35">
        <v>0.93</v>
      </c>
      <c r="BB35" s="17" t="s">
        <v>244</v>
      </c>
      <c r="BC35" s="9">
        <v>45630</v>
      </c>
      <c r="BD35" s="18">
        <v>0.85</v>
      </c>
      <c r="BE35" s="17" t="s">
        <v>244</v>
      </c>
      <c r="BF35" s="42">
        <v>45637</v>
      </c>
      <c r="BG35" s="18">
        <v>1.24</v>
      </c>
      <c r="BH35" s="39">
        <f t="shared" si="0"/>
        <v>0.98466666666666669</v>
      </c>
      <c r="BI35" s="40">
        <f t="shared" si="1"/>
        <v>0.20591397849462365</v>
      </c>
      <c r="BJ35" s="41">
        <f t="shared" si="2"/>
        <v>0.31451612903225806</v>
      </c>
    </row>
    <row r="36" spans="1:62" x14ac:dyDescent="0.2">
      <c r="B36" s="2"/>
      <c r="J36" s="9"/>
      <c r="L36" s="1">
        <v>40.700000000000003</v>
      </c>
      <c r="M36" s="1" t="s">
        <v>274</v>
      </c>
      <c r="N36" s="1" t="s">
        <v>271</v>
      </c>
      <c r="O36" s="1" t="s">
        <v>79</v>
      </c>
      <c r="Q36" s="1" t="s">
        <v>417</v>
      </c>
      <c r="R36" s="2">
        <v>45540</v>
      </c>
      <c r="S36" s="1">
        <v>0.54</v>
      </c>
      <c r="T36" s="1">
        <v>31.5</v>
      </c>
      <c r="U36" s="1" t="s">
        <v>418</v>
      </c>
      <c r="V36" s="1" t="s">
        <v>97</v>
      </c>
      <c r="W36" s="1" t="s">
        <v>419</v>
      </c>
      <c r="X36" s="1" t="s">
        <v>417</v>
      </c>
      <c r="Y36" s="2">
        <v>45547</v>
      </c>
      <c r="Z36" s="1">
        <v>0.53</v>
      </c>
      <c r="AA36" s="17" t="s">
        <v>417</v>
      </c>
      <c r="AB36" s="9">
        <v>45554</v>
      </c>
      <c r="AC36">
        <v>0.57999999999999996</v>
      </c>
      <c r="AD36" s="17" t="s">
        <v>417</v>
      </c>
      <c r="AE36" s="9">
        <v>45561</v>
      </c>
      <c r="AF36" s="18">
        <v>0.56999999999999995</v>
      </c>
      <c r="AG36" s="17" t="s">
        <v>417</v>
      </c>
      <c r="AH36" s="9">
        <v>45568</v>
      </c>
      <c r="AI36" s="18">
        <v>0.51</v>
      </c>
      <c r="AJ36" s="17" t="s">
        <v>417</v>
      </c>
      <c r="AK36" s="9">
        <v>45575</v>
      </c>
      <c r="AL36" s="18">
        <v>0.6</v>
      </c>
      <c r="AM36" s="17" t="s">
        <v>417</v>
      </c>
      <c r="AN36" s="9">
        <v>45582</v>
      </c>
      <c r="AO36" s="18">
        <v>0.56000000000000005</v>
      </c>
      <c r="AP36" t="s">
        <v>417</v>
      </c>
      <c r="AQ36" s="9">
        <v>45596</v>
      </c>
      <c r="AR36">
        <v>0.63</v>
      </c>
      <c r="AS36" s="17" t="s">
        <v>417</v>
      </c>
      <c r="AT36" s="9">
        <v>45603</v>
      </c>
      <c r="AU36" s="18">
        <v>0.55000000000000004</v>
      </c>
      <c r="AV36" s="17" t="s">
        <v>417</v>
      </c>
      <c r="AW36" s="9">
        <v>45610</v>
      </c>
      <c r="AX36" s="18">
        <v>0.68</v>
      </c>
      <c r="AY36" s="17" t="s">
        <v>417</v>
      </c>
      <c r="AZ36" s="9">
        <v>45617</v>
      </c>
      <c r="BA36">
        <v>0.64</v>
      </c>
      <c r="BB36" s="17" t="s">
        <v>417</v>
      </c>
      <c r="BC36" s="9">
        <v>45630</v>
      </c>
      <c r="BD36" s="18">
        <v>0.67</v>
      </c>
      <c r="BE36" s="17" t="s">
        <v>417</v>
      </c>
      <c r="BF36" s="42">
        <v>45637</v>
      </c>
      <c r="BG36" s="18">
        <v>0.59</v>
      </c>
      <c r="BH36" s="39">
        <f t="shared" si="0"/>
        <v>0.58846153846153837</v>
      </c>
      <c r="BI36" s="40">
        <f t="shared" si="1"/>
        <v>2.6075619295959315E-3</v>
      </c>
      <c r="BJ36" s="41">
        <f t="shared" si="2"/>
        <v>-0.13559322033898319</v>
      </c>
    </row>
    <row r="37" spans="1:62" x14ac:dyDescent="0.2">
      <c r="D37" s="1">
        <v>43.4</v>
      </c>
      <c r="E37" s="1" t="s">
        <v>268</v>
      </c>
      <c r="F37" s="1" t="s">
        <v>214</v>
      </c>
      <c r="G37" s="1" t="s">
        <v>54</v>
      </c>
      <c r="I37" t="s">
        <v>273</v>
      </c>
      <c r="J37" s="9">
        <v>45533</v>
      </c>
      <c r="K37" s="1">
        <v>0.93</v>
      </c>
      <c r="Q37" s="1" t="s">
        <v>273</v>
      </c>
      <c r="R37" s="2">
        <v>45540</v>
      </c>
      <c r="S37" s="1">
        <v>0.92</v>
      </c>
      <c r="T37" s="1">
        <v>42.4</v>
      </c>
      <c r="U37" s="1" t="s">
        <v>420</v>
      </c>
      <c r="V37" s="1" t="s">
        <v>421</v>
      </c>
      <c r="W37" s="1" t="s">
        <v>422</v>
      </c>
      <c r="X37" s="1" t="s">
        <v>273</v>
      </c>
      <c r="Y37" s="2">
        <v>45547</v>
      </c>
      <c r="Z37" s="1">
        <v>1</v>
      </c>
      <c r="AA37" s="17" t="s">
        <v>273</v>
      </c>
      <c r="AB37" s="9">
        <v>45554</v>
      </c>
      <c r="AC37">
        <v>0.95</v>
      </c>
      <c r="AD37" s="17" t="s">
        <v>273</v>
      </c>
      <c r="AE37" s="9">
        <v>45561</v>
      </c>
      <c r="AF37" s="18">
        <v>0.99</v>
      </c>
      <c r="AG37" s="17" t="s">
        <v>273</v>
      </c>
      <c r="AH37" s="9">
        <v>45568</v>
      </c>
      <c r="AI37" s="18">
        <v>1.02</v>
      </c>
      <c r="AJ37" s="17" t="s">
        <v>273</v>
      </c>
      <c r="AK37" s="9">
        <v>45575</v>
      </c>
      <c r="AL37" s="18">
        <v>0.94</v>
      </c>
      <c r="AM37" s="17" t="s">
        <v>273</v>
      </c>
      <c r="AN37" s="9">
        <v>45582</v>
      </c>
      <c r="AO37" s="18">
        <v>0.9</v>
      </c>
      <c r="AP37" t="s">
        <v>273</v>
      </c>
      <c r="AQ37" s="9">
        <v>45596</v>
      </c>
      <c r="AR37">
        <v>0.99</v>
      </c>
      <c r="AS37" s="17" t="s">
        <v>273</v>
      </c>
      <c r="AT37" s="9">
        <v>45603</v>
      </c>
      <c r="AU37" s="18">
        <v>1.1100000000000001</v>
      </c>
      <c r="AV37" s="17" t="s">
        <v>273</v>
      </c>
      <c r="AW37" s="9">
        <v>45610</v>
      </c>
      <c r="AX37" s="18">
        <v>1.1599999999999999</v>
      </c>
      <c r="AY37" s="17" t="s">
        <v>273</v>
      </c>
      <c r="AZ37" s="9">
        <v>45617</v>
      </c>
      <c r="BA37">
        <v>0.91</v>
      </c>
      <c r="BB37" s="17" t="s">
        <v>273</v>
      </c>
      <c r="BC37" s="9">
        <v>45630</v>
      </c>
      <c r="BD37" s="18">
        <v>0.98</v>
      </c>
      <c r="BE37" s="17" t="s">
        <v>273</v>
      </c>
      <c r="BF37" s="42">
        <v>45637</v>
      </c>
      <c r="BG37" s="18">
        <v>1.03</v>
      </c>
      <c r="BH37" s="39">
        <f t="shared" si="0"/>
        <v>0.98785714285714288</v>
      </c>
      <c r="BI37" s="40">
        <f t="shared" si="1"/>
        <v>4.0915395284327326E-2</v>
      </c>
      <c r="BJ37" s="41">
        <f t="shared" si="2"/>
        <v>4.854368932038839E-2</v>
      </c>
    </row>
    <row r="38" spans="1:62" x14ac:dyDescent="0.2">
      <c r="A38" s="1" t="s">
        <v>44</v>
      </c>
      <c r="B38" s="2">
        <v>45524</v>
      </c>
      <c r="C38" s="1">
        <v>0.83</v>
      </c>
      <c r="D38" s="1">
        <v>47</v>
      </c>
      <c r="E38" s="1" t="s">
        <v>26</v>
      </c>
      <c r="F38" s="1" t="s">
        <v>85</v>
      </c>
      <c r="G38" s="1" t="s">
        <v>363</v>
      </c>
      <c r="I38" t="s">
        <v>44</v>
      </c>
      <c r="J38" s="9">
        <v>45533</v>
      </c>
      <c r="K38" s="1">
        <v>0.85</v>
      </c>
      <c r="L38" s="1">
        <v>44.8</v>
      </c>
      <c r="M38" s="1" t="s">
        <v>269</v>
      </c>
      <c r="N38" s="1" t="s">
        <v>270</v>
      </c>
      <c r="O38" s="1" t="s">
        <v>181</v>
      </c>
      <c r="Q38" s="1" t="s">
        <v>44</v>
      </c>
      <c r="R38" s="2">
        <v>45540</v>
      </c>
      <c r="S38" s="1">
        <v>0.83</v>
      </c>
      <c r="T38" s="1">
        <v>44.7</v>
      </c>
      <c r="U38" s="1" t="s">
        <v>93</v>
      </c>
      <c r="V38" s="1" t="s">
        <v>69</v>
      </c>
      <c r="W38" s="1" t="s">
        <v>38</v>
      </c>
      <c r="X38" s="1" t="s">
        <v>44</v>
      </c>
      <c r="Y38" s="2">
        <v>45547</v>
      </c>
      <c r="Z38" s="1">
        <v>0.9</v>
      </c>
      <c r="AA38" s="17" t="s">
        <v>44</v>
      </c>
      <c r="AB38" s="9">
        <v>45554</v>
      </c>
      <c r="AC38">
        <v>0.81</v>
      </c>
      <c r="AD38" s="17" t="s">
        <v>44</v>
      </c>
      <c r="AE38" s="9">
        <v>45561</v>
      </c>
      <c r="AF38" s="18">
        <v>0.88</v>
      </c>
      <c r="AG38" s="17" t="s">
        <v>44</v>
      </c>
      <c r="AH38" s="9">
        <v>45568</v>
      </c>
      <c r="AI38" s="18">
        <v>0.8</v>
      </c>
      <c r="AJ38" s="17"/>
      <c r="AL38" s="18"/>
      <c r="AM38" s="17" t="s">
        <v>44</v>
      </c>
      <c r="AN38" s="9">
        <v>45582</v>
      </c>
      <c r="AO38" s="18">
        <v>0.81</v>
      </c>
      <c r="AP38" t="s">
        <v>44</v>
      </c>
      <c r="AQ38" s="9">
        <v>45596</v>
      </c>
      <c r="AR38">
        <v>0.84</v>
      </c>
      <c r="AS38" s="17" t="s">
        <v>44</v>
      </c>
      <c r="AT38" s="9">
        <v>45603</v>
      </c>
      <c r="AU38" s="18">
        <v>0.86</v>
      </c>
      <c r="AV38" s="17" t="s">
        <v>44</v>
      </c>
      <c r="AW38" s="9">
        <v>45610</v>
      </c>
      <c r="AX38" s="18">
        <v>0.89</v>
      </c>
      <c r="AY38" s="17" t="s">
        <v>44</v>
      </c>
      <c r="AZ38" s="9">
        <v>45617</v>
      </c>
      <c r="BA38">
        <v>0.9</v>
      </c>
      <c r="BB38" s="17" t="s">
        <v>44</v>
      </c>
      <c r="BC38" s="9">
        <v>45630</v>
      </c>
      <c r="BD38" s="18">
        <v>0.85</v>
      </c>
      <c r="BE38" s="17" t="s">
        <v>44</v>
      </c>
      <c r="BF38" s="42">
        <v>45637</v>
      </c>
      <c r="BG38" s="18">
        <v>0.89</v>
      </c>
      <c r="BH38" s="39">
        <f t="shared" si="0"/>
        <v>0.85285714285714287</v>
      </c>
      <c r="BI38" s="40">
        <f t="shared" si="1"/>
        <v>4.1733547351524881E-2</v>
      </c>
      <c r="BJ38" s="41">
        <f t="shared" si="2"/>
        <v>4.4943820224719142E-2</v>
      </c>
    </row>
    <row r="39" spans="1:62" x14ac:dyDescent="0.2">
      <c r="A39" s="1" t="s">
        <v>108</v>
      </c>
      <c r="B39" s="2">
        <v>45524</v>
      </c>
      <c r="C39" s="1">
        <v>0.75</v>
      </c>
      <c r="D39" s="1">
        <v>43.3</v>
      </c>
      <c r="E39" s="1" t="s">
        <v>339</v>
      </c>
      <c r="F39" s="1" t="s">
        <v>340</v>
      </c>
      <c r="G39" s="1" t="s">
        <v>341</v>
      </c>
      <c r="I39" t="s">
        <v>108</v>
      </c>
      <c r="J39" s="9">
        <v>45533</v>
      </c>
      <c r="K39" s="1">
        <v>0.87</v>
      </c>
      <c r="L39" s="1">
        <v>39.4</v>
      </c>
      <c r="M39" s="1" t="s">
        <v>139</v>
      </c>
      <c r="N39" s="1" t="s">
        <v>211</v>
      </c>
      <c r="O39" s="1" t="s">
        <v>143</v>
      </c>
      <c r="Q39" s="1" t="s">
        <v>108</v>
      </c>
      <c r="R39" s="2">
        <v>45540</v>
      </c>
      <c r="S39" s="1">
        <v>0.84</v>
      </c>
      <c r="T39" s="1">
        <v>39.6</v>
      </c>
      <c r="U39" s="1" t="s">
        <v>423</v>
      </c>
      <c r="V39" s="1" t="s">
        <v>424</v>
      </c>
      <c r="W39" s="1" t="s">
        <v>425</v>
      </c>
      <c r="X39" s="1" t="s">
        <v>108</v>
      </c>
      <c r="Y39" s="2">
        <v>45547</v>
      </c>
      <c r="Z39" s="1">
        <v>0.85</v>
      </c>
      <c r="AA39" s="17" t="s">
        <v>108</v>
      </c>
      <c r="AB39" s="9">
        <v>45554</v>
      </c>
      <c r="AC39">
        <v>0.87</v>
      </c>
      <c r="AD39" s="17" t="s">
        <v>108</v>
      </c>
      <c r="AE39" s="9">
        <v>45561</v>
      </c>
      <c r="AF39" s="18">
        <v>0.85</v>
      </c>
      <c r="AG39" s="17" t="s">
        <v>108</v>
      </c>
      <c r="AH39" s="9">
        <v>45568</v>
      </c>
      <c r="AI39" s="18">
        <v>0.78</v>
      </c>
      <c r="AJ39" s="17" t="s">
        <v>108</v>
      </c>
      <c r="AK39" s="9">
        <v>45575</v>
      </c>
      <c r="AL39" s="18">
        <v>0.86</v>
      </c>
      <c r="AM39" s="17" t="s">
        <v>108</v>
      </c>
      <c r="AN39" s="9">
        <v>45582</v>
      </c>
      <c r="AO39" s="18">
        <v>0.79</v>
      </c>
      <c r="AP39" t="s">
        <v>108</v>
      </c>
      <c r="AQ39" s="9">
        <v>45596</v>
      </c>
      <c r="AR39">
        <v>0.74</v>
      </c>
      <c r="AS39" s="17" t="s">
        <v>108</v>
      </c>
      <c r="AT39" s="9">
        <v>45603</v>
      </c>
      <c r="AU39" s="18">
        <v>0.74</v>
      </c>
      <c r="AV39" s="17" t="s">
        <v>108</v>
      </c>
      <c r="AW39" s="9">
        <v>45610</v>
      </c>
      <c r="AX39" s="18">
        <v>0.78</v>
      </c>
      <c r="AY39" s="17" t="s">
        <v>108</v>
      </c>
      <c r="AZ39" s="9">
        <v>45617</v>
      </c>
      <c r="BA39">
        <v>0.8</v>
      </c>
      <c r="BB39" s="17" t="s">
        <v>108</v>
      </c>
      <c r="BC39" s="9">
        <v>45630</v>
      </c>
      <c r="BD39" s="18">
        <v>0.93</v>
      </c>
      <c r="BE39" s="17" t="s">
        <v>108</v>
      </c>
      <c r="BF39" s="42">
        <v>45637</v>
      </c>
      <c r="BG39" s="18">
        <v>0.92</v>
      </c>
      <c r="BH39" s="39">
        <f t="shared" si="0"/>
        <v>0.82466666666666666</v>
      </c>
      <c r="BI39" s="40">
        <f t="shared" si="1"/>
        <v>0.10362318840579715</v>
      </c>
      <c r="BJ39" s="41">
        <f t="shared" si="2"/>
        <v>-1.0869565217391313E-2</v>
      </c>
    </row>
    <row r="40" spans="1:62" x14ac:dyDescent="0.2">
      <c r="A40" s="1" t="s">
        <v>106</v>
      </c>
      <c r="B40" s="2">
        <v>45524</v>
      </c>
      <c r="C40" s="1">
        <v>1.04</v>
      </c>
      <c r="D40" s="1">
        <v>29.1</v>
      </c>
      <c r="E40" s="1" t="s">
        <v>193</v>
      </c>
      <c r="F40" s="1" t="s">
        <v>344</v>
      </c>
      <c r="G40" s="1" t="s">
        <v>345</v>
      </c>
      <c r="I40" t="s">
        <v>106</v>
      </c>
      <c r="J40" s="9">
        <v>45533</v>
      </c>
      <c r="K40" s="1">
        <v>1.1200000000000001</v>
      </c>
      <c r="L40" s="1">
        <v>50.5</v>
      </c>
      <c r="M40" s="1" t="s">
        <v>296</v>
      </c>
      <c r="N40" s="1" t="s">
        <v>139</v>
      </c>
      <c r="O40" s="1" t="s">
        <v>268</v>
      </c>
      <c r="Q40" s="1" t="s">
        <v>106</v>
      </c>
      <c r="R40" s="2">
        <v>45540</v>
      </c>
      <c r="S40" s="1">
        <v>1.08</v>
      </c>
      <c r="T40" s="1">
        <v>49.3</v>
      </c>
      <c r="U40" s="1" t="s">
        <v>228</v>
      </c>
      <c r="V40" s="1" t="s">
        <v>307</v>
      </c>
      <c r="W40" s="1" t="s">
        <v>426</v>
      </c>
      <c r="X40" s="1" t="s">
        <v>106</v>
      </c>
      <c r="Y40" s="2">
        <v>45547</v>
      </c>
      <c r="Z40" s="1">
        <v>1.1499999999999999</v>
      </c>
      <c r="AA40" s="17" t="s">
        <v>106</v>
      </c>
      <c r="AB40" s="9">
        <v>45554</v>
      </c>
      <c r="AC40">
        <v>1.21</v>
      </c>
      <c r="AD40" s="17" t="s">
        <v>106</v>
      </c>
      <c r="AE40" s="9">
        <v>45561</v>
      </c>
      <c r="AF40" s="18">
        <v>1.21</v>
      </c>
      <c r="AG40" s="17" t="s">
        <v>106</v>
      </c>
      <c r="AH40" s="9">
        <v>45568</v>
      </c>
      <c r="AI40" s="18">
        <v>1.2</v>
      </c>
      <c r="AJ40" s="17" t="s">
        <v>106</v>
      </c>
      <c r="AK40" s="9">
        <v>45575</v>
      </c>
      <c r="AL40" s="18">
        <v>1.22</v>
      </c>
      <c r="AM40" s="17"/>
      <c r="AN40" s="9"/>
      <c r="AO40" s="18"/>
      <c r="AS40" s="17"/>
      <c r="AT40" s="9"/>
      <c r="AU40" s="18"/>
      <c r="AV40" s="17" t="s">
        <v>106</v>
      </c>
      <c r="AW40" s="9">
        <v>45610</v>
      </c>
      <c r="AX40" s="18">
        <v>1</v>
      </c>
      <c r="AY40" s="17"/>
      <c r="AZ40" s="9"/>
      <c r="BB40" s="17"/>
      <c r="BC40" s="9"/>
      <c r="BD40" s="18"/>
      <c r="BE40" s="17"/>
      <c r="BF40" s="38"/>
      <c r="BG40" s="18"/>
      <c r="BH40" s="39">
        <f t="shared" si="0"/>
        <v>1.1366666666666667</v>
      </c>
      <c r="BI40" s="40" t="e">
        <f t="shared" si="1"/>
        <v>#DIV/0!</v>
      </c>
      <c r="BJ40" s="41" t="e">
        <f t="shared" si="2"/>
        <v>#DIV/0!</v>
      </c>
    </row>
    <row r="41" spans="1:62" x14ac:dyDescent="0.2">
      <c r="A41" s="1" t="s">
        <v>80</v>
      </c>
      <c r="B41" s="2">
        <v>45524</v>
      </c>
      <c r="C41" s="1">
        <v>0.78</v>
      </c>
      <c r="I41" t="s">
        <v>80</v>
      </c>
      <c r="J41" s="9">
        <v>45533</v>
      </c>
      <c r="K41" s="1">
        <v>0.69</v>
      </c>
      <c r="L41" s="1">
        <v>42.8</v>
      </c>
      <c r="M41" s="1" t="s">
        <v>297</v>
      </c>
      <c r="N41" s="1" t="s">
        <v>298</v>
      </c>
      <c r="O41" s="1" t="s">
        <v>299</v>
      </c>
      <c r="Q41" s="1" t="s">
        <v>80</v>
      </c>
      <c r="R41" s="2">
        <v>45540</v>
      </c>
      <c r="S41" s="1">
        <v>0.68</v>
      </c>
      <c r="T41" s="1">
        <v>41.5</v>
      </c>
      <c r="U41" s="1" t="s">
        <v>427</v>
      </c>
      <c r="V41" s="1" t="s">
        <v>428</v>
      </c>
      <c r="W41" s="1" t="s">
        <v>83</v>
      </c>
      <c r="X41" s="1" t="s">
        <v>80</v>
      </c>
      <c r="Y41" s="2">
        <v>45547</v>
      </c>
      <c r="Z41" s="1">
        <v>0.87</v>
      </c>
      <c r="AA41" s="17" t="s">
        <v>80</v>
      </c>
      <c r="AB41" s="9">
        <v>45554</v>
      </c>
      <c r="AC41">
        <v>0.71</v>
      </c>
      <c r="AD41" s="17" t="s">
        <v>80</v>
      </c>
      <c r="AE41" s="9">
        <v>45561</v>
      </c>
      <c r="AF41" s="18">
        <v>0.83</v>
      </c>
      <c r="AG41" s="17" t="s">
        <v>80</v>
      </c>
      <c r="AH41" s="9">
        <v>45568</v>
      </c>
      <c r="AI41" s="18">
        <v>0.79</v>
      </c>
      <c r="AJ41" s="17" t="s">
        <v>80</v>
      </c>
      <c r="AK41" s="9">
        <v>45575</v>
      </c>
      <c r="AL41" s="18">
        <v>0.83</v>
      </c>
      <c r="AM41" s="17" t="s">
        <v>80</v>
      </c>
      <c r="AN41" s="9">
        <v>45582</v>
      </c>
      <c r="AO41" s="18">
        <v>0.84</v>
      </c>
      <c r="AP41" t="s">
        <v>80</v>
      </c>
      <c r="AQ41" s="9">
        <v>45596</v>
      </c>
      <c r="AR41">
        <v>0.81</v>
      </c>
      <c r="AS41" s="17" t="s">
        <v>80</v>
      </c>
      <c r="AT41" s="9">
        <v>45603</v>
      </c>
      <c r="AU41" s="18">
        <v>0.89</v>
      </c>
      <c r="AV41" s="17" t="s">
        <v>80</v>
      </c>
      <c r="AW41" s="9">
        <v>45610</v>
      </c>
      <c r="AX41" s="18">
        <v>0.91</v>
      </c>
      <c r="AY41" s="17" t="s">
        <v>80</v>
      </c>
      <c r="AZ41" s="9">
        <v>45617</v>
      </c>
      <c r="BA41">
        <v>0.9</v>
      </c>
      <c r="BB41" s="17" t="s">
        <v>80</v>
      </c>
      <c r="BC41" s="9">
        <v>45630</v>
      </c>
      <c r="BD41" s="18">
        <v>0.96</v>
      </c>
      <c r="BE41" s="17"/>
      <c r="BF41" s="38"/>
      <c r="BG41" s="18"/>
      <c r="BH41" s="39">
        <f t="shared" si="0"/>
        <v>0.82071428571428584</v>
      </c>
      <c r="BI41" s="40" t="e">
        <f t="shared" si="1"/>
        <v>#DIV/0!</v>
      </c>
      <c r="BJ41" s="41" t="e">
        <f t="shared" si="2"/>
        <v>#DIV/0!</v>
      </c>
    </row>
    <row r="42" spans="1:62" ht="17" thickBot="1" x14ac:dyDescent="0.25">
      <c r="A42" s="1" t="s">
        <v>123</v>
      </c>
      <c r="B42" s="2">
        <v>45524</v>
      </c>
      <c r="C42" s="1">
        <v>0.45</v>
      </c>
      <c r="I42" t="s">
        <v>123</v>
      </c>
      <c r="J42" s="9">
        <v>45533</v>
      </c>
      <c r="K42" s="1">
        <v>0.45</v>
      </c>
      <c r="L42" s="1">
        <v>28.2</v>
      </c>
      <c r="M42" s="1" t="s">
        <v>285</v>
      </c>
      <c r="N42" s="1" t="s">
        <v>286</v>
      </c>
      <c r="O42" s="1" t="s">
        <v>47</v>
      </c>
      <c r="Q42" s="1" t="s">
        <v>123</v>
      </c>
      <c r="R42" s="2">
        <v>45540</v>
      </c>
      <c r="S42" s="1">
        <v>0.5</v>
      </c>
      <c r="T42" s="1">
        <v>29.9</v>
      </c>
      <c r="U42" s="1" t="s">
        <v>317</v>
      </c>
      <c r="V42" s="1" t="s">
        <v>429</v>
      </c>
      <c r="W42" s="1" t="s">
        <v>242</v>
      </c>
      <c r="X42" s="1" t="s">
        <v>123</v>
      </c>
      <c r="Y42" s="2">
        <v>45547</v>
      </c>
      <c r="Z42" s="1">
        <v>0.48</v>
      </c>
      <c r="AA42" s="17" t="s">
        <v>123</v>
      </c>
      <c r="AB42" s="9">
        <v>45554</v>
      </c>
      <c r="AC42">
        <v>0.53</v>
      </c>
      <c r="AD42" s="17" t="s">
        <v>123</v>
      </c>
      <c r="AE42" s="9">
        <v>45561</v>
      </c>
      <c r="AF42" s="18">
        <v>0.55000000000000004</v>
      </c>
      <c r="AG42" s="17" t="s">
        <v>123</v>
      </c>
      <c r="AH42" s="9">
        <v>45568</v>
      </c>
      <c r="AI42" s="18">
        <v>0.51</v>
      </c>
      <c r="AJ42" s="17" t="s">
        <v>123</v>
      </c>
      <c r="AK42" s="9">
        <v>45575</v>
      </c>
      <c r="AL42" s="18">
        <v>0.52</v>
      </c>
      <c r="AM42" s="17" t="s">
        <v>123</v>
      </c>
      <c r="AN42" s="9">
        <v>45582</v>
      </c>
      <c r="AO42" s="18">
        <v>0.56999999999999995</v>
      </c>
      <c r="AP42" t="s">
        <v>123</v>
      </c>
      <c r="AQ42" s="9">
        <v>45596</v>
      </c>
      <c r="AR42">
        <v>0.47</v>
      </c>
      <c r="AS42" s="17" t="s">
        <v>123</v>
      </c>
      <c r="AT42" s="9">
        <v>45603</v>
      </c>
      <c r="AU42" s="18">
        <v>0.52</v>
      </c>
      <c r="AV42" s="17" t="s">
        <v>123</v>
      </c>
      <c r="AW42" s="9">
        <v>45610</v>
      </c>
      <c r="AX42" s="18">
        <v>0.56999999999999995</v>
      </c>
      <c r="AY42" s="17" t="s">
        <v>123</v>
      </c>
      <c r="AZ42" s="9">
        <v>45617</v>
      </c>
      <c r="BA42">
        <v>0.53</v>
      </c>
      <c r="BB42" s="17" t="s">
        <v>123</v>
      </c>
      <c r="BC42" s="9">
        <v>45630</v>
      </c>
      <c r="BD42" s="18">
        <v>0.55000000000000004</v>
      </c>
      <c r="BE42" s="17" t="s">
        <v>123</v>
      </c>
      <c r="BF42" s="42">
        <v>45637</v>
      </c>
      <c r="BG42" s="18">
        <v>0.56999999999999995</v>
      </c>
      <c r="BH42" s="39">
        <f t="shared" si="0"/>
        <v>0.51800000000000002</v>
      </c>
      <c r="BI42" s="40">
        <f t="shared" si="1"/>
        <v>9.1228070175438492E-2</v>
      </c>
      <c r="BJ42" s="41">
        <f t="shared" si="2"/>
        <v>3.5087719298245452E-2</v>
      </c>
    </row>
    <row r="43" spans="1:62" ht="17" thickBot="1" x14ac:dyDescent="0.25">
      <c r="R43" s="9"/>
      <c r="AA43" s="17"/>
      <c r="AD43" s="17"/>
      <c r="AF43" s="18"/>
      <c r="AG43" s="17"/>
      <c r="AI43" s="18"/>
      <c r="AJ43" s="17"/>
      <c r="AL43" s="18"/>
      <c r="AM43" s="17"/>
      <c r="AO43" s="18"/>
      <c r="AS43" s="17"/>
      <c r="AU43" s="18"/>
      <c r="AV43" s="17"/>
      <c r="AX43" s="18"/>
      <c r="AY43" s="17"/>
      <c r="BB43" s="17"/>
      <c r="BD43" s="18"/>
      <c r="BE43" s="17"/>
      <c r="BF43" s="38"/>
      <c r="BG43" s="18"/>
      <c r="BH43" s="35" t="s">
        <v>431</v>
      </c>
      <c r="BI43" s="36" t="s">
        <v>432</v>
      </c>
      <c r="BJ43" s="37" t="s">
        <v>372</v>
      </c>
    </row>
    <row r="44" spans="1:62" ht="17" thickBot="1" x14ac:dyDescent="0.25">
      <c r="C44" s="12">
        <f>AVERAGE(C2:C42)</f>
        <v>0.89527777777777773</v>
      </c>
      <c r="K44" s="12">
        <f>AVERAGE(K2:K42)</f>
        <v>0.86540540540540545</v>
      </c>
      <c r="R44" s="9"/>
      <c r="S44" s="12">
        <f>AVERAGE(S2:S42)</f>
        <v>0.87555555555555564</v>
      </c>
      <c r="Z44" s="12">
        <f>AVERAGE(Z2:Z42)</f>
        <v>0.91722222222222216</v>
      </c>
      <c r="AA44" s="19"/>
      <c r="AB44" s="20"/>
      <c r="AC44" s="25">
        <f>AVERAGE(AC2:AC42)</f>
        <v>0.89189189189189166</v>
      </c>
      <c r="AD44" s="26"/>
      <c r="AE44" s="25"/>
      <c r="AF44" s="27">
        <f>AVERAGE(AF2:AF42)</f>
        <v>0.89243243243243253</v>
      </c>
      <c r="AG44" s="19"/>
      <c r="AH44" s="20"/>
      <c r="AI44" s="27">
        <f>AVERAGE(AI2:AI42)</f>
        <v>0.89210526315789473</v>
      </c>
      <c r="AJ44" s="19"/>
      <c r="AK44" s="20"/>
      <c r="AL44" s="27">
        <f>AVERAGE(AL2:AL42)</f>
        <v>0.93</v>
      </c>
      <c r="AM44" s="19"/>
      <c r="AN44" s="20"/>
      <c r="AO44" s="27">
        <f>AVERAGE(AO2:AO42)</f>
        <v>0.90999999999999992</v>
      </c>
      <c r="AP44" s="19"/>
      <c r="AQ44" s="20"/>
      <c r="AR44" s="28">
        <f>AVERAGE(AR2:AR42)</f>
        <v>0.91749999999999987</v>
      </c>
      <c r="AS44" s="19"/>
      <c r="AT44" s="20"/>
      <c r="AU44" s="31">
        <f>AVERAGE(AU2:AU42)</f>
        <v>0.93162162162162176</v>
      </c>
      <c r="AV44" s="19"/>
      <c r="AW44" s="20"/>
      <c r="AX44" s="30">
        <f>AVERAGE(AX2:AX42)</f>
        <v>0.95631578947368434</v>
      </c>
      <c r="AY44" s="19"/>
      <c r="AZ44" s="20"/>
      <c r="BA44" s="28">
        <f>AVERAGE(BA2:BA42)</f>
        <v>0.92685714285714282</v>
      </c>
      <c r="BB44" s="19"/>
      <c r="BC44" s="20"/>
      <c r="BD44" s="29">
        <f>AVERAGE(BD2:BD42)</f>
        <v>0.96552631578947345</v>
      </c>
      <c r="BE44" s="19"/>
      <c r="BF44" s="20"/>
      <c r="BG44" s="29">
        <f>AVERAGE(BG2:BG42)</f>
        <v>0.97428571428571431</v>
      </c>
      <c r="BH44" s="43">
        <f>AVERAGE(C44,K44,S44,Z44,AC44,AF44,AI44,AL44,AO44,AR44,AU44,AX44,BA44,BD44,BG44)</f>
        <v>0.91613314216472119</v>
      </c>
      <c r="BI44" s="44">
        <f>(BG44-BH44)/BG44</f>
        <v>5.9687390740022259E-2</v>
      </c>
      <c r="BJ44" s="45">
        <f>(BG44-BD44)/BG44</f>
        <v>8.9905849668161265E-3</v>
      </c>
    </row>
    <row r="45" spans="1:62" x14ac:dyDescent="0.2">
      <c r="R45" s="9"/>
      <c r="BJ45" s="4"/>
    </row>
    <row r="46" spans="1:62" x14ac:dyDescent="0.2">
      <c r="BJ46" s="4"/>
    </row>
    <row r="47" spans="1:62" x14ac:dyDescent="0.2">
      <c r="BH47" s="33" t="s">
        <v>435</v>
      </c>
      <c r="BJ47" s="4"/>
    </row>
    <row r="48" spans="1:62" x14ac:dyDescent="0.2">
      <c r="BH48" s="34" t="s">
        <v>434</v>
      </c>
      <c r="BJ48" s="4"/>
    </row>
    <row r="49" spans="60:62" x14ac:dyDescent="0.2">
      <c r="BH49" s="32" t="s">
        <v>433</v>
      </c>
      <c r="BJ49" s="4"/>
    </row>
  </sheetData>
  <sortState xmlns:xlrd2="http://schemas.microsoft.com/office/spreadsheetml/2017/richdata2" ref="I2:O42">
    <sortCondition ref="I2:I4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forcedecks-test-export-08_10_20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J Bourque</cp:lastModifiedBy>
  <cp:lastPrinted>2024-10-17T21:51:37Z</cp:lastPrinted>
  <dcterms:created xsi:type="dcterms:W3CDTF">2024-08-10T23:51:06Z</dcterms:created>
  <dcterms:modified xsi:type="dcterms:W3CDTF">2024-12-12T20:09:53Z</dcterms:modified>
</cp:coreProperties>
</file>